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현황" sheetId="1" state="visible" r:id="rId3"/>
    <sheet name="템플릿" sheetId="2" state="visible" r:id="rId4"/>
    <sheet name="예약생성_데이터" sheetId="3" state="visible" r:id="rId5"/>
    <sheet name="부분수정_데이터" sheetId="4" state="visible" r:id="rId6"/>
    <sheet name="결함목록" sheetId="5" state="visible" r:id="rId7"/>
  </sheets>
  <definedNames>
    <definedName function="false" hidden="true" localSheetId="3" name="_xlnm._FilterDatabase" vbProcedure="false">부분수정_데이터!$A$1:$P$34</definedName>
    <definedName function="false" hidden="true" localSheetId="2" name="_xlnm._FilterDatabase" vbProcedure="false">예약생성_데이터!$A$1:$P$10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<sst xmlns="http://schemas.openxmlformats.org/spreadsheetml/2006/main" count="797" uniqueCount="452">
  <si>
    <r>
      <rPr>
        <b val="true"/>
        <sz val="13"/>
        <rFont val="Arial"/>
        <family val="0"/>
        <charset val="1"/>
      </rPr>
      <t xml:space="preserve">Restful-booker API </t>
    </r>
    <r>
      <rPr>
        <b val="true"/>
        <sz val="13"/>
        <rFont val="Noto Sans CJK SC"/>
        <family val="2"/>
      </rPr>
      <t xml:space="preserve">테스트 케이스 </t>
    </r>
    <r>
      <rPr>
        <b val="true"/>
        <sz val="13"/>
        <rFont val="Arial"/>
        <family val="0"/>
        <charset val="1"/>
      </rPr>
      <t xml:space="preserve">· </t>
    </r>
    <r>
      <rPr>
        <b val="true"/>
        <sz val="13"/>
        <rFont val="Noto Sans CJK SC"/>
        <family val="2"/>
      </rPr>
      <t xml:space="preserve">테스트 현황 보고서</t>
    </r>
  </si>
  <si>
    <r>
      <rPr>
        <b val="true"/>
        <sz val="10"/>
        <rFont val="Arial"/>
        <family val="0"/>
        <charset val="1"/>
      </rPr>
      <t xml:space="preserve">1. </t>
    </r>
    <r>
      <rPr>
        <b val="true"/>
        <sz val="10"/>
        <rFont val="Noto Sans CJK SC"/>
        <family val="2"/>
      </rPr>
      <t xml:space="preserve">개요 및 최종 업데이트</t>
    </r>
  </si>
  <si>
    <t xml:space="preserve">구분</t>
  </si>
  <si>
    <t xml:space="preserve">내용</t>
  </si>
  <si>
    <t xml:space="preserve">프로젝트 명</t>
  </si>
  <si>
    <r>
      <rPr>
        <sz val="10"/>
        <rFont val="Arial"/>
        <family val="0"/>
        <charset val="1"/>
      </rPr>
      <t xml:space="preserve">Restful-booker API </t>
    </r>
    <r>
      <rPr>
        <sz val="10"/>
        <rFont val="Noto Sans CJK SC"/>
        <family val="2"/>
      </rPr>
      <t xml:space="preserve">테스트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학습용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</si>
  <si>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대상 </t>
    </r>
    <r>
      <rPr>
        <sz val="10"/>
        <rFont val="Arial"/>
        <family val="0"/>
        <charset val="1"/>
      </rPr>
      <t xml:space="preserve">API</t>
    </r>
  </si>
  <si>
    <t xml:space="preserve">https://restful-booker.herokuapp.com/apidoc/index.html  ({{baseUrl}} = https://restful-booker.herokuapp.com)</t>
  </si>
  <si>
    <t xml:space="preserve">저장소</t>
  </si>
  <si>
    <t xml:space="preserve">https://github.com/IWlastnameisKim/api-test-restful-booker</t>
  </si>
  <si>
    <t xml:space="preserve">테스트 방식</t>
  </si>
  <si>
    <r>
      <rPr>
        <sz val="10"/>
        <rFont val="Arial"/>
        <family val="0"/>
        <charset val="1"/>
      </rPr>
      <t xml:space="preserve">Postman + Newman </t>
    </r>
    <r>
      <rPr>
        <sz val="10"/>
        <rFont val="Noto Sans CJK SC"/>
        <family val="2"/>
      </rPr>
      <t xml:space="preserve">데이터 기반 테스트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공통 절차는 템플릿 시트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입력값은 데이터셋 시트</t>
    </r>
  </si>
  <si>
    <t xml:space="preserve">케이스 원본</t>
  </si>
  <si>
    <r>
      <rPr>
        <sz val="10"/>
        <rFont val="Arial"/>
        <family val="0"/>
        <charset val="1"/>
      </rPr>
      <t xml:space="preserve">data/*.json </t>
    </r>
    <r>
      <rPr>
        <sz val="10"/>
        <rFont val="Noto Sans CJK SC"/>
        <family val="2"/>
      </rPr>
      <t xml:space="preserve">데이터 파일 </t>
    </r>
    <r>
      <rPr>
        <sz val="10"/>
        <rFont val="Arial"/>
        <family val="0"/>
        <charset val="1"/>
      </rPr>
      <t xml:space="preserve">(id, case, purpose, expectedStatus, body). </t>
    </r>
    <r>
      <rPr>
        <sz val="10"/>
        <rFont val="Noto Sans CJK SC"/>
        <family val="2"/>
      </rPr>
      <t xml:space="preserve">데이터셋 시트의 </t>
    </r>
    <r>
      <rPr>
        <sz val="10"/>
        <rFont val="Arial"/>
        <family val="0"/>
        <charset val="1"/>
      </rPr>
      <t xml:space="preserve">ID·</t>
    </r>
    <r>
      <rPr>
        <sz val="10"/>
        <rFont val="Noto Sans CJK SC"/>
        <family val="2"/>
      </rPr>
      <t xml:space="preserve">케이스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목적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입력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기대 </t>
    </r>
    <r>
      <rPr>
        <sz val="10"/>
        <rFont val="Arial"/>
        <family val="0"/>
        <charset val="1"/>
      </rPr>
      <t xml:space="preserve">Status</t>
    </r>
    <r>
      <rPr>
        <sz val="10"/>
        <rFont val="Noto Sans CJK SC"/>
        <family val="2"/>
      </rPr>
      <t xml:space="preserve">는 데이터 파일과 같아야 함</t>
    </r>
  </si>
  <si>
    <t xml:space="preserve">문서 버전</t>
  </si>
  <si>
    <t xml:space="preserve">v1.2</t>
  </si>
  <si>
    <t xml:space="preserve">테스트 실행일</t>
  </si>
  <si>
    <t xml:space="preserve">2026-10-27</t>
  </si>
  <si>
    <t xml:space="preserve">최종 업데이트</t>
  </si>
  <si>
    <t xml:space="preserve">2026-10-28</t>
  </si>
  <si>
    <r>
      <rPr>
        <sz val="10"/>
        <rFont val="Arial"/>
        <family val="0"/>
        <charset val="1"/>
      </rPr>
      <t xml:space="preserve">QA </t>
    </r>
    <r>
      <rPr>
        <sz val="10"/>
        <rFont val="Noto Sans CJK SC"/>
        <family val="2"/>
      </rPr>
      <t xml:space="preserve">담당자</t>
    </r>
  </si>
  <si>
    <t xml:space="preserve">InWon Kim</t>
  </si>
  <si>
    <r>
      <rPr>
        <b val="true"/>
        <sz val="10"/>
        <rFont val="Arial"/>
        <family val="0"/>
        <charset val="1"/>
      </rPr>
      <t xml:space="preserve">2. </t>
    </r>
    <r>
      <rPr>
        <b val="true"/>
        <sz val="10"/>
        <rFont val="Noto Sans CJK SC"/>
        <family val="2"/>
      </rPr>
      <t xml:space="preserve">템플릿별 테스트 현황</t>
    </r>
  </si>
  <si>
    <t xml:space="preserve">NO</t>
  </si>
  <si>
    <t xml:space="preserve">템플릿</t>
  </si>
  <si>
    <r>
      <rPr>
        <b val="true"/>
        <sz val="10"/>
        <rFont val="Noto Sans CJK SC"/>
        <family val="2"/>
      </rPr>
      <t xml:space="preserve">전체 </t>
    </r>
    <r>
      <rPr>
        <b val="true"/>
        <sz val="10"/>
        <rFont val="Arial"/>
        <family val="0"/>
        <charset val="1"/>
      </rPr>
      <t xml:space="preserve">Case</t>
    </r>
  </si>
  <si>
    <t xml:space="preserve">PASS</t>
  </si>
  <si>
    <t xml:space="preserve">FAIL</t>
  </si>
  <si>
    <t xml:space="preserve">BLOCK</t>
  </si>
  <si>
    <t xml:space="preserve">Not Tested</t>
  </si>
  <si>
    <t xml:space="preserve">N/A</t>
  </si>
  <si>
    <t xml:space="preserve">진행률</t>
  </si>
  <si>
    <t xml:space="preserve">성공률</t>
  </si>
  <si>
    <r>
      <rPr>
        <sz val="10"/>
        <rFont val="Arial"/>
        <family val="0"/>
        <charset val="1"/>
      </rPr>
      <t xml:space="preserve">BKG-POST (</t>
    </r>
    <r>
      <rPr>
        <sz val="10"/>
        <rFont val="Noto Sans CJK SC"/>
        <family val="2"/>
      </rPr>
      <t xml:space="preserve">예약 생성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</si>
  <si>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BKG-PATCH (</t>
    </r>
    <r>
      <rPr>
        <sz val="10"/>
        <rFont val="Noto Sans CJK SC"/>
        <family val="2"/>
      </rPr>
      <t xml:space="preserve">부분 수정</t>
    </r>
    <r>
      <rPr>
        <sz val="10"/>
        <rFont val="Arial"/>
        <family val="0"/>
        <charset val="1"/>
      </rPr>
      <t xml:space="preserve">)</t>
    </r>
  </si>
  <si>
    <t xml:space="preserve">총계</t>
  </si>
  <si>
    <r>
      <rPr>
        <sz val="10"/>
        <rFont val="Noto Sans CJK SC"/>
        <family val="2"/>
      </rPr>
      <t xml:space="preserve">진행률 </t>
    </r>
    <r>
      <rPr>
        <sz val="10"/>
        <rFont val="Arial"/>
        <family val="0"/>
        <charset val="1"/>
      </rPr>
      <t xml:space="preserve">= (</t>
    </r>
    <r>
      <rPr>
        <sz val="10"/>
        <rFont val="Noto Sans CJK SC"/>
        <family val="2"/>
      </rPr>
      <t xml:space="preserve">전체 </t>
    </r>
    <r>
      <rPr>
        <sz val="10"/>
        <rFont val="Arial"/>
        <family val="0"/>
        <charset val="1"/>
      </rPr>
      <t xml:space="preserve">- Not Tested) / </t>
    </r>
    <r>
      <rPr>
        <sz val="10"/>
        <rFont val="Noto Sans CJK SC"/>
        <family val="2"/>
      </rPr>
      <t xml:space="preserve">전체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성공률 </t>
    </r>
    <r>
      <rPr>
        <sz val="10"/>
        <rFont val="Arial"/>
        <family val="0"/>
        <charset val="1"/>
      </rPr>
      <t xml:space="preserve">= PASS / (</t>
    </r>
    <r>
      <rPr>
        <sz val="10"/>
        <rFont val="Noto Sans CJK SC"/>
        <family val="2"/>
      </rPr>
      <t xml:space="preserve">전체 </t>
    </r>
    <r>
      <rPr>
        <sz val="10"/>
        <rFont val="Arial"/>
        <family val="0"/>
        <charset val="1"/>
      </rPr>
      <t xml:space="preserve">- Not Tested - N/A). </t>
    </r>
    <r>
      <rPr>
        <sz val="10"/>
        <rFont val="Noto Sans CJK SC"/>
        <family val="2"/>
      </rPr>
      <t xml:space="preserve">결과 칸이 비어 있으면 </t>
    </r>
    <r>
      <rPr>
        <sz val="10"/>
        <rFont val="Arial"/>
        <family val="0"/>
        <charset val="1"/>
      </rPr>
      <t xml:space="preserve">Not Tested</t>
    </r>
    <r>
      <rPr>
        <sz val="10"/>
        <rFont val="Noto Sans CJK SC"/>
        <family val="2"/>
      </rPr>
      <t xml:space="preserve">로 집계</t>
    </r>
  </si>
  <si>
    <r>
      <rPr>
        <b val="true"/>
        <sz val="10"/>
        <rFont val="Arial"/>
        <family val="0"/>
        <charset val="1"/>
      </rPr>
      <t xml:space="preserve">3. </t>
    </r>
    <r>
      <rPr>
        <b val="true"/>
        <sz val="10"/>
        <rFont val="Noto Sans CJK SC"/>
        <family val="2"/>
      </rPr>
      <t xml:space="preserve">결함 현황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심각도별</t>
    </r>
    <r>
      <rPr>
        <b val="true"/>
        <sz val="10"/>
        <rFont val="Arial"/>
        <family val="0"/>
        <charset val="1"/>
      </rPr>
      <t xml:space="preserve">)</t>
    </r>
  </si>
  <si>
    <t xml:space="preserve">심각도</t>
  </si>
  <si>
    <t xml:space="preserve">전체 건수</t>
  </si>
  <si>
    <r>
      <rPr>
        <b val="true"/>
        <sz val="10"/>
        <rFont val="Noto Sans CJK SC"/>
        <family val="2"/>
      </rPr>
      <t xml:space="preserve">조치 완료 </t>
    </r>
    <r>
      <rPr>
        <b val="true"/>
        <sz val="10"/>
        <rFont val="Arial"/>
        <family val="0"/>
        <charset val="1"/>
      </rPr>
      <t xml:space="preserve">(Fixed/Closed)</t>
    </r>
  </si>
  <si>
    <r>
      <rPr>
        <b val="true"/>
        <sz val="10"/>
        <rFont val="Noto Sans CJK SC"/>
        <family val="2"/>
      </rPr>
      <t xml:space="preserve">미조치 </t>
    </r>
    <r>
      <rPr>
        <b val="true"/>
        <sz val="10"/>
        <rFont val="Arial"/>
        <family val="0"/>
        <charset val="1"/>
      </rPr>
      <t xml:space="preserve">(Open)</t>
    </r>
  </si>
  <si>
    <t xml:space="preserve">상</t>
  </si>
  <si>
    <t xml:space="preserve">중</t>
  </si>
  <si>
    <t xml:space="preserve">하</t>
  </si>
  <si>
    <t xml:space="preserve">정책 확인</t>
  </si>
  <si>
    <r>
      <rPr>
        <b val="true"/>
        <sz val="10"/>
        <rFont val="Arial"/>
        <family val="0"/>
        <charset val="1"/>
      </rPr>
      <t xml:space="preserve">4. </t>
    </r>
    <r>
      <rPr>
        <b val="true"/>
        <sz val="10"/>
        <rFont val="Noto Sans CJK SC"/>
        <family val="2"/>
      </rPr>
      <t xml:space="preserve">특이사항</t>
    </r>
  </si>
  <si>
    <r>
      <rPr>
        <sz val="10"/>
        <rFont val="Arial"/>
        <family val="0"/>
        <charset val="1"/>
      </rPr>
      <t xml:space="preserve">PATCH</t>
    </r>
    <r>
      <rPr>
        <sz val="10"/>
        <rFont val="Noto Sans CJK SC"/>
        <family val="2"/>
      </rPr>
      <t xml:space="preserve">에는 입력 검증이 없어 거절돼야 할 요청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건이 모두 </t>
    </r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을 반환함</t>
    </r>
  </si>
  <si>
    <r>
      <rPr>
        <sz val="10"/>
        <rFont val="Arial"/>
        <family val="0"/>
        <charset val="1"/>
      </rPr>
      <t xml:space="preserve">P-1·P-2: </t>
    </r>
    <r>
      <rPr>
        <sz val="10"/>
        <rFont val="Noto Sans CJK SC"/>
        <family val="2"/>
      </rPr>
      <t xml:space="preserve">명세대로 일부 필드만 보낸 정상 요청에서 보내지 않은 날짜가 </t>
    </r>
    <r>
      <rPr>
        <sz val="10"/>
        <rFont val="Arial"/>
        <family val="0"/>
        <charset val="1"/>
      </rPr>
      <t xml:space="preserve">0NaN-aN-aN</t>
    </r>
    <r>
      <rPr>
        <sz val="10"/>
        <rFont val="Noto Sans CJK SC"/>
        <family val="2"/>
      </rPr>
      <t xml:space="preserve">으로 깨짐</t>
    </r>
  </si>
  <si>
    <r>
      <rPr>
        <sz val="10"/>
        <rFont val="Arial"/>
        <family val="0"/>
        <charset val="1"/>
      </rPr>
      <t xml:space="preserve">P-13: depositpaid </t>
    </r>
    <r>
      <rPr>
        <sz val="10"/>
        <rFont val="Noto Sans CJK SC"/>
        <family val="2"/>
      </rPr>
      <t xml:space="preserve">문자열 처리</t>
    </r>
    <r>
      <rPr>
        <sz val="10"/>
        <rFont val="Arial"/>
        <family val="0"/>
        <charset val="1"/>
      </rPr>
      <t xml:space="preserve">(400 </t>
    </r>
    <r>
      <rPr>
        <sz val="10"/>
        <rFont val="Noto Sans CJK SC"/>
        <family val="2"/>
      </rPr>
      <t xml:space="preserve">거절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무시 후 </t>
    </r>
    <r>
      <rPr>
        <sz val="10"/>
        <rFont val="Arial"/>
        <family val="0"/>
        <charset val="1"/>
      </rPr>
      <t xml:space="preserve">200)</t>
    </r>
    <r>
      <rPr>
        <sz val="10"/>
        <rFont val="Noto Sans CJK SC"/>
        <family val="2"/>
      </rPr>
      <t xml:space="preserve">는 정책 결정 필요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원본이 </t>
    </r>
    <r>
      <rPr>
        <sz val="10"/>
        <rFont val="Arial"/>
        <family val="0"/>
        <charset val="1"/>
      </rPr>
      <t xml:space="preserve">true</t>
    </r>
    <r>
      <rPr>
        <sz val="10"/>
        <rFont val="Noto Sans CJK SC"/>
        <family val="2"/>
      </rPr>
      <t xml:space="preserve">라 현재 케이스로는 무시와 변환이 구분되지 않음</t>
    </r>
  </si>
  <si>
    <r>
      <rPr>
        <b val="true"/>
        <sz val="10"/>
        <rFont val="Arial"/>
        <family val="0"/>
        <charset val="1"/>
      </rPr>
      <t xml:space="preserve">5. </t>
    </r>
    <r>
      <rPr>
        <b val="true"/>
        <sz val="10"/>
        <rFont val="Noto Sans CJK SC"/>
        <family val="2"/>
      </rPr>
      <t xml:space="preserve">문서 구성과 항목 정의</t>
    </r>
  </si>
  <si>
    <t xml:space="preserve">항목</t>
  </si>
  <si>
    <t xml:space="preserve">설명</t>
  </si>
  <si>
    <t xml:space="preserve">템플릿 시트</t>
  </si>
  <si>
    <r>
      <rPr>
        <sz val="10"/>
        <rFont val="Arial"/>
        <family val="0"/>
        <charset val="1"/>
      </rPr>
      <t xml:space="preserve">data-driven </t>
    </r>
    <r>
      <rPr>
        <sz val="10"/>
        <rFont val="Noto Sans CJK SC"/>
        <family val="2"/>
      </rPr>
      <t xml:space="preserve">테스트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템플릿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공통 사전조건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요청</t>
    </r>
    <r>
      <rPr>
        <sz val="10"/>
        <rFont val="Arial"/>
        <family val="0"/>
        <charset val="1"/>
      </rPr>
      <t xml:space="preserve">(Method·Endpoint·Headers), </t>
    </r>
    <r>
      <rPr>
        <sz val="10"/>
        <rFont val="Noto Sans CJK SC"/>
        <family val="2"/>
      </rPr>
      <t xml:space="preserve">판정 기준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데이터 파일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자동화 위치를 한 번만 기재</t>
    </r>
  </si>
  <si>
    <t xml:space="preserve">데이터셋 시트</t>
  </si>
  <si>
    <r>
      <rPr>
        <sz val="10"/>
        <rFont val="Noto Sans CJK SC"/>
        <family val="2"/>
      </rPr>
      <t xml:space="preserve">데이터 파일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행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케이스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템플릿 열로 어느 템플릿의 입력인지 연결하고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행마다 다른 입력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실제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결과만 기재</t>
    </r>
  </si>
  <si>
    <t xml:space="preserve">ID</t>
  </si>
  <si>
    <r>
      <rPr>
        <sz val="10"/>
        <rFont val="Arial"/>
        <family val="0"/>
        <charset val="1"/>
      </rPr>
      <t xml:space="preserve">BKG-POST-nnn / BKG-PATCH-nnn. </t>
    </r>
    <r>
      <rPr>
        <sz val="10"/>
        <rFont val="Noto Sans CJK SC"/>
        <family val="2"/>
      </rPr>
      <t xml:space="preserve">데이터 파일의 </t>
    </r>
    <r>
      <rPr>
        <sz val="10"/>
        <rFont val="Arial"/>
        <family val="0"/>
        <charset val="1"/>
      </rPr>
      <t xml:space="preserve">id</t>
    </r>
    <r>
      <rPr>
        <sz val="10"/>
        <rFont val="Noto Sans CJK SC"/>
        <family val="2"/>
      </rPr>
      <t xml:space="preserve">와 같음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테스트 이름에 넣으면 </t>
    </r>
    <r>
      <rPr>
        <sz val="10"/>
        <rFont val="Arial"/>
        <family val="0"/>
        <charset val="1"/>
      </rPr>
      <t xml:space="preserve">Newman </t>
    </r>
    <r>
      <rPr>
        <sz val="10"/>
        <rFont val="Noto Sans CJK SC"/>
        <family val="2"/>
      </rPr>
      <t xml:space="preserve">리포트와 연결됨</t>
    </r>
  </si>
  <si>
    <r>
      <rPr>
        <sz val="10"/>
        <rFont val="Noto Sans CJK SC"/>
        <family val="2"/>
      </rPr>
      <t xml:space="preserve">분류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대상</t>
    </r>
  </si>
  <si>
    <r>
      <rPr>
        <sz val="10"/>
        <rFont val="Noto Sans CJK SC"/>
        <family val="2"/>
      </rPr>
      <t xml:space="preserve">검증 유형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타입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범위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날짜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요청 형식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과 대상 필드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조건</t>
    </r>
  </si>
  <si>
    <r>
      <rPr>
        <sz val="10"/>
        <rFont val="Noto Sans CJK SC"/>
        <family val="2"/>
      </rPr>
      <t xml:space="preserve">입력 </t>
    </r>
    <r>
      <rPr>
        <sz val="10"/>
        <rFont val="Arial"/>
        <family val="0"/>
        <charset val="1"/>
      </rPr>
      <t xml:space="preserve">body</t>
    </r>
  </si>
  <si>
    <r>
      <rPr>
        <sz val="10"/>
        <rFont val="Arial"/>
        <family val="0"/>
        <charset val="1"/>
      </rPr>
      <t xml:space="preserve">{{requestBody}}</t>
    </r>
    <r>
      <rPr>
        <sz val="10"/>
        <rFont val="Noto Sans CJK SC"/>
        <family val="2"/>
      </rPr>
      <t xml:space="preserve">에 들어가는 행의 </t>
    </r>
    <r>
      <rPr>
        <sz val="10"/>
        <rFont val="Arial"/>
        <family val="0"/>
        <charset val="1"/>
      </rPr>
      <t xml:space="preserve">body </t>
    </r>
    <r>
      <rPr>
        <sz val="10"/>
        <rFont val="Noto Sans CJK SC"/>
        <family val="2"/>
      </rPr>
      <t xml:space="preserve">원문</t>
    </r>
  </si>
  <si>
    <r>
      <rPr>
        <sz val="10"/>
        <rFont val="Noto Sans CJK SC"/>
        <family val="2"/>
      </rPr>
      <t xml:space="preserve">기대 </t>
    </r>
    <r>
      <rPr>
        <sz val="10"/>
        <rFont val="Arial"/>
        <family val="0"/>
        <charset val="1"/>
      </rPr>
      <t xml:space="preserve">Status / </t>
    </r>
    <r>
      <rPr>
        <sz val="10"/>
        <rFont val="Noto Sans CJK SC"/>
        <family val="2"/>
      </rPr>
      <t xml:space="preserve">기대 </t>
    </r>
    <r>
      <rPr>
        <sz val="10"/>
        <rFont val="Arial"/>
        <family val="0"/>
        <charset val="1"/>
      </rPr>
      <t xml:space="preserve">Response / </t>
    </r>
    <r>
      <rPr>
        <sz val="10"/>
        <rFont val="Noto Sans CJK SC"/>
        <family val="2"/>
      </rPr>
      <t xml:space="preserve">기대 저장값</t>
    </r>
  </si>
  <si>
    <r>
      <rPr>
        <sz val="10"/>
        <rFont val="Noto Sans CJK SC"/>
        <family val="2"/>
      </rPr>
      <t xml:space="preserve">명세 기준의 올바른 응답과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재조회했을 때 저장돼 있어야 할 값</t>
    </r>
  </si>
  <si>
    <r>
      <rPr>
        <sz val="10"/>
        <rFont val="Noto Sans CJK SC"/>
        <family val="2"/>
      </rPr>
      <t xml:space="preserve">실제 </t>
    </r>
    <r>
      <rPr>
        <sz val="10"/>
        <rFont val="Arial"/>
        <family val="0"/>
        <charset val="1"/>
      </rPr>
      <t xml:space="preserve">Status / </t>
    </r>
    <r>
      <rPr>
        <sz val="10"/>
        <rFont val="Noto Sans CJK SC"/>
        <family val="2"/>
      </rPr>
      <t xml:space="preserve">실제 </t>
    </r>
    <r>
      <rPr>
        <sz val="10"/>
        <rFont val="Arial"/>
        <family val="0"/>
        <charset val="1"/>
      </rPr>
      <t xml:space="preserve">Response</t>
    </r>
  </si>
  <si>
    <r>
      <rPr>
        <sz val="10"/>
        <rFont val="Noto Sans CJK SC"/>
        <family val="2"/>
      </rPr>
      <t xml:space="preserve">실행 시 관찰한 응답 코드와 응답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저장값</t>
    </r>
  </si>
  <si>
    <t xml:space="preserve">결과</t>
  </si>
  <si>
    <t xml:space="preserve">PASS / FAIL / BLOCK / N/A / Not Tested</t>
  </si>
  <si>
    <r>
      <rPr>
        <sz val="10"/>
        <rFont val="Noto Sans CJK SC"/>
        <family val="2"/>
      </rPr>
      <t xml:space="preserve">결함 </t>
    </r>
    <r>
      <rPr>
        <sz val="10"/>
        <rFont val="Arial"/>
        <family val="0"/>
        <charset val="1"/>
      </rPr>
      <t xml:space="preserve">ID / </t>
    </r>
    <r>
      <rPr>
        <sz val="10"/>
        <rFont val="Noto Sans CJK SC"/>
        <family val="2"/>
      </rPr>
      <t xml:space="preserve">비고</t>
    </r>
  </si>
  <si>
    <r>
      <rPr>
        <sz val="10"/>
        <rFont val="Noto Sans CJK SC"/>
        <family val="2"/>
      </rPr>
      <t xml:space="preserve">결함목록 시트의 </t>
    </r>
    <r>
      <rPr>
        <sz val="10"/>
        <rFont val="Arial"/>
        <family val="0"/>
        <charset val="1"/>
      </rPr>
      <t xml:space="preserve">ID, </t>
    </r>
    <r>
      <rPr>
        <sz val="10"/>
        <rFont val="Noto Sans CJK SC"/>
        <family val="2"/>
      </rPr>
      <t xml:space="preserve">정책 확인 사항</t>
    </r>
  </si>
  <si>
    <t xml:space="preserve">데이터 행</t>
  </si>
  <si>
    <r>
      <rPr>
        <sz val="10"/>
        <rFont val="Noto Sans CJK SC"/>
        <family val="2"/>
      </rPr>
      <t xml:space="preserve">데이터 파일에서 몇 번째 행인지 </t>
    </r>
    <r>
      <rPr>
        <sz val="10"/>
        <rFont val="Arial"/>
        <family val="0"/>
        <charset val="1"/>
      </rPr>
      <t xml:space="preserve">(Newman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iteration </t>
    </r>
    <r>
      <rPr>
        <sz val="10"/>
        <rFont val="Noto Sans CJK SC"/>
        <family val="2"/>
      </rPr>
      <t xml:space="preserve">번호와 같음</t>
    </r>
    <r>
      <rPr>
        <sz val="10"/>
        <rFont val="Arial"/>
        <family val="0"/>
        <charset val="1"/>
      </rPr>
      <t xml:space="preserve">)</t>
    </r>
  </si>
  <si>
    <t xml:space="preserve">케이스 추가 순서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</si>
  <si>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데이터 파일에 행 추가 </t>
    </r>
    <r>
      <rPr>
        <sz val="10"/>
        <rFont val="Arial"/>
        <family val="0"/>
        <charset val="1"/>
      </rPr>
      <t xml:space="preserve">(id, case, purpose, expectedStatus, body) → 2. </t>
    </r>
    <r>
      <rPr>
        <sz val="10"/>
        <rFont val="Noto Sans CJK SC"/>
        <family val="2"/>
      </rPr>
      <t xml:space="preserve">실행 → </t>
    </r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데이터셋 시트에 행 추가 후 결과 기입</t>
    </r>
  </si>
  <si>
    <r>
      <rPr>
        <b val="true"/>
        <sz val="10"/>
        <rFont val="Noto Sans CJK SC"/>
        <family val="2"/>
      </rPr>
      <t xml:space="preserve">템플릿 </t>
    </r>
    <r>
      <rPr>
        <b val="true"/>
        <sz val="10"/>
        <rFont val="Arial"/>
        <family val="0"/>
        <charset val="1"/>
      </rPr>
      <t xml:space="preserve">ID</t>
    </r>
  </si>
  <si>
    <t xml:space="preserve">대상</t>
  </si>
  <si>
    <t xml:space="preserve">테스트 목적</t>
  </si>
  <si>
    <t xml:space="preserve">사전조건</t>
  </si>
  <si>
    <t xml:space="preserve">Method</t>
  </si>
  <si>
    <t xml:space="preserve">Endpoint</t>
  </si>
  <si>
    <t xml:space="preserve">Headers</t>
  </si>
  <si>
    <t xml:space="preserve">Request Body</t>
  </si>
  <si>
    <r>
      <rPr>
        <b val="true"/>
        <sz val="10"/>
        <rFont val="Noto Sans CJK SC"/>
        <family val="2"/>
      </rPr>
      <t xml:space="preserve">판정 기준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응답</t>
    </r>
    <r>
      <rPr>
        <b val="true"/>
        <sz val="10"/>
        <rFont val="Arial"/>
        <family val="0"/>
        <charset val="1"/>
      </rPr>
      <t xml:space="preserve">)</t>
    </r>
  </si>
  <si>
    <t xml:space="preserve">검증 요청</t>
  </si>
  <si>
    <r>
      <rPr>
        <b val="true"/>
        <sz val="10"/>
        <rFont val="Noto Sans CJK SC"/>
        <family val="2"/>
      </rPr>
      <t xml:space="preserve">판정 기준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저장값</t>
    </r>
    <r>
      <rPr>
        <b val="true"/>
        <sz val="10"/>
        <rFont val="Arial"/>
        <family val="0"/>
        <charset val="1"/>
      </rPr>
      <t xml:space="preserve">)</t>
    </r>
  </si>
  <si>
    <t xml:space="preserve">데이터 파일</t>
  </si>
  <si>
    <t xml:space="preserve">케이스 수</t>
  </si>
  <si>
    <r>
      <rPr>
        <b val="true"/>
        <sz val="10"/>
        <rFont val="Arial"/>
        <family val="0"/>
        <charset val="1"/>
      </rPr>
      <t xml:space="preserve">Postman </t>
    </r>
    <r>
      <rPr>
        <b val="true"/>
        <sz val="10"/>
        <rFont val="Noto Sans CJK SC"/>
        <family val="2"/>
      </rPr>
      <t xml:space="preserve">위치</t>
    </r>
  </si>
  <si>
    <t xml:space="preserve">Before request</t>
  </si>
  <si>
    <t xml:space="preserve">After response</t>
  </si>
  <si>
    <t xml:space="preserve">실행 명령</t>
  </si>
  <si>
    <t xml:space="preserve">BKG-POST</t>
  </si>
  <si>
    <r>
      <rPr>
        <sz val="10"/>
        <rFont val="Noto Sans CJK SC"/>
        <family val="2"/>
      </rPr>
      <t xml:space="preserve">예약 생성 </t>
    </r>
    <r>
      <rPr>
        <sz val="10"/>
        <rFont val="Arial"/>
        <family val="0"/>
        <charset val="1"/>
      </rPr>
      <t xml:space="preserve">(POST)</t>
    </r>
  </si>
  <si>
    <t xml:space="preserve">예약 생성 시 필드별 입력값 검증이 명세대로 동작하는지 확인</t>
  </si>
  <si>
    <r>
      <rPr>
        <sz val="10"/>
        <rFont val="Arial"/>
        <family val="0"/>
        <charset val="1"/>
      </rPr>
      <t xml:space="preserve">1. baseUrl </t>
    </r>
    <r>
      <rPr>
        <sz val="10"/>
        <rFont val="Noto Sans CJK SC"/>
        <family val="2"/>
      </rPr>
      <t xml:space="preserve">접근 가능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인증 불필요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예약 생성은 토큰 없이 가능</t>
    </r>
    <r>
      <rPr>
        <sz val="10"/>
        <rFont val="Arial"/>
        <family val="0"/>
        <charset val="1"/>
      </rPr>
      <t xml:space="preserve">)</t>
    </r>
  </si>
  <si>
    <t xml:space="preserve">POST</t>
  </si>
  <si>
    <t xml:space="preserve">{{baseUrl}}/booking</t>
  </si>
  <si>
    <t xml:space="preserve">Content-Type: application/json
Accept: application/json</t>
  </si>
  <si>
    <r>
      <rPr>
        <sz val="9"/>
        <rFont val="Courier New"/>
        <family val="0"/>
        <charset val="1"/>
      </rPr>
      <t xml:space="preserve">{{requestBody}}
= </t>
    </r>
    <r>
      <rPr>
        <sz val="9"/>
        <rFont val="Noto Sans CJK SC"/>
        <family val="2"/>
      </rPr>
      <t xml:space="preserve">데이터셋의 입력 </t>
    </r>
    <r>
      <rPr>
        <sz val="9"/>
        <rFont val="Courier New"/>
        <family val="0"/>
        <charset val="1"/>
      </rPr>
      <t xml:space="preserve">body</t>
    </r>
  </si>
  <si>
    <r>
      <rPr>
        <sz val="10"/>
        <rFont val="Noto Sans CJK SC"/>
        <family val="2"/>
      </rPr>
      <t xml:space="preserve">상태 코드 </t>
    </r>
    <r>
      <rPr>
        <sz val="10"/>
        <rFont val="Arial"/>
        <family val="0"/>
        <charset val="1"/>
      </rPr>
      <t xml:space="preserve">== </t>
    </r>
    <r>
      <rPr>
        <sz val="10"/>
        <rFont val="Noto Sans CJK SC"/>
        <family val="2"/>
      </rPr>
      <t xml:space="preserve">데이터셋의 기대 </t>
    </r>
    <r>
      <rPr>
        <sz val="10"/>
        <rFont val="Arial"/>
        <family val="0"/>
        <charset val="1"/>
      </rPr>
      <t xml:space="preserve">Status</t>
    </r>
  </si>
  <si>
    <r>
      <rPr>
        <sz val="10"/>
        <rFont val="Noto Sans CJK SC"/>
        <family val="2"/>
      </rPr>
      <t xml:space="preserve">없음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응답만 판정</t>
    </r>
    <r>
      <rPr>
        <sz val="10"/>
        <rFont val="Arial"/>
        <family val="0"/>
        <charset val="1"/>
      </rPr>
      <t xml:space="preserve">)</t>
    </r>
  </si>
  <si>
    <t xml:space="preserve">-</t>
  </si>
  <si>
    <t xml:space="preserve">data/booking-cases.json</t>
  </si>
  <si>
    <r>
      <rPr>
        <sz val="10"/>
        <rFont val="Noto Sans CJK SC"/>
        <family val="2"/>
      </rPr>
      <t xml:space="preserve">예약생성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데이터</t>
    </r>
  </si>
  <si>
    <r>
      <rPr>
        <sz val="10"/>
        <rFont val="Arial"/>
        <family val="0"/>
        <charset val="1"/>
      </rPr>
      <t xml:space="preserve">06-Data-Driven &gt; booking - </t>
    </r>
    <r>
      <rPr>
        <sz val="10"/>
        <rFont val="Noto Sans CJK SC"/>
        <family val="2"/>
      </rPr>
      <t xml:space="preserve">입력값 검증</t>
    </r>
  </si>
  <si>
    <r>
      <rPr>
        <sz val="10"/>
        <rFont val="Noto Sans CJK SC"/>
        <family val="2"/>
      </rPr>
      <t xml:space="preserve">행의 </t>
    </r>
    <r>
      <rPr>
        <sz val="10"/>
        <rFont val="Arial"/>
        <family val="0"/>
        <charset val="1"/>
      </rPr>
      <t xml:space="preserve">body → JSON.stringify → requestBody </t>
    </r>
    <r>
      <rPr>
        <sz val="10"/>
        <rFont val="Noto Sans CJK SC"/>
        <family val="2"/>
      </rPr>
      <t xml:space="preserve">변수 저장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데이터 없이 실행되면 안내 로그</t>
    </r>
  </si>
  <si>
    <r>
      <rPr>
        <sz val="10"/>
        <rFont val="Noto Sans CJK SC"/>
        <family val="2"/>
      </rPr>
      <t xml:space="preserve">상태 코드 </t>
    </r>
    <r>
      <rPr>
        <sz val="10"/>
        <rFont val="Arial"/>
        <family val="0"/>
        <charset val="1"/>
      </rPr>
      <t xml:space="preserve">== expectedStatus </t>
    </r>
    <r>
      <rPr>
        <sz val="10"/>
        <rFont val="Noto Sans CJK SC"/>
        <family val="2"/>
      </rPr>
      <t xml:space="preserve">판정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다르면 보낸 </t>
    </r>
    <r>
      <rPr>
        <sz val="10"/>
        <rFont val="Arial"/>
        <family val="0"/>
        <charset val="1"/>
      </rPr>
      <t xml:space="preserve">body</t>
    </r>
    <r>
      <rPr>
        <sz val="10"/>
        <rFont val="Noto Sans CJK SC"/>
        <family val="2"/>
      </rPr>
      <t xml:space="preserve">와 응답 전체를 로그로 기록</t>
    </r>
  </si>
  <si>
    <t xml:space="preserve">npm run test:data</t>
  </si>
  <si>
    <t xml:space="preserve">BKG-PATCH</t>
  </si>
  <si>
    <r>
      <rPr>
        <sz val="10"/>
        <rFont val="Noto Sans CJK SC"/>
        <family val="2"/>
      </rPr>
      <t xml:space="preserve">부분 수정 </t>
    </r>
    <r>
      <rPr>
        <sz val="10"/>
        <rFont val="Arial"/>
        <family val="0"/>
        <charset val="1"/>
      </rPr>
      <t xml:space="preserve">(PATCH)</t>
    </r>
  </si>
  <si>
    <r>
      <rPr>
        <sz val="10"/>
        <rFont val="Noto Sans CJK SC"/>
        <family val="2"/>
      </rPr>
      <t xml:space="preserve">부분 수정 시 보낸 필드만 바뀌고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잘못된 입력은 거절되어 원본이 유지되는지 확인</t>
    </r>
  </si>
  <si>
    <r>
      <rPr>
        <sz val="10"/>
        <rFont val="Arial"/>
        <family val="0"/>
        <charset val="1"/>
      </rPr>
      <t xml:space="preserve">1. POST /auth</t>
    </r>
    <r>
      <rPr>
        <sz val="10"/>
        <rFont val="Noto Sans CJK SC"/>
        <family val="2"/>
      </rPr>
      <t xml:space="preserve">로 토큰 발급 </t>
    </r>
    <r>
      <rPr>
        <sz val="10"/>
        <rFont val="Arial"/>
        <family val="0"/>
        <charset val="1"/>
      </rPr>
      <t xml:space="preserve">({{username}} / {{password}})
2. POST /booking</t>
    </r>
    <r>
      <rPr>
        <sz val="10"/>
        <rFont val="Noto Sans CJK SC"/>
        <family val="2"/>
      </rPr>
      <t xml:space="preserve">으로 행마다 새 예약 생성 후 </t>
    </r>
    <r>
      <rPr>
        <sz val="10"/>
        <rFont val="Arial"/>
        <family val="0"/>
        <charset val="1"/>
      </rPr>
      <t xml:space="preserve">bookingid </t>
    </r>
    <r>
      <rPr>
        <sz val="10"/>
        <rFont val="Noto Sans CJK SC"/>
        <family val="2"/>
      </rPr>
      <t xml:space="preserve">확보
  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원본</t>
    </r>
    <r>
      <rPr>
        <sz val="10"/>
        <rFont val="Arial"/>
        <family val="0"/>
        <charset val="1"/>
      </rPr>
      <t xml:space="preserve">: firstname POST, lastname PATCH, totalprice 2300, depositpaid true, checkin 2018-01-01, checkout 2019-01-01, additionalneeds Breakfast</t>
    </r>
  </si>
  <si>
    <t xml:space="preserve">PATCH</t>
  </si>
  <si>
    <t xml:space="preserve">{{baseUrl}}/booking/{{bookingid}}</t>
  </si>
  <si>
    <t xml:space="preserve">Cookie: token={{token}}
Content-Type: application/json
Accept: application/json</t>
  </si>
  <si>
    <t xml:space="preserve">GET {{baseUrl}}/booking/{{bookingid}}</t>
  </si>
  <si>
    <r>
      <rPr>
        <sz val="10"/>
        <rFont val="Noto Sans CJK SC"/>
        <family val="2"/>
      </rPr>
      <t xml:space="preserve">기대 </t>
    </r>
    <r>
      <rPr>
        <sz val="10"/>
        <rFont val="Arial"/>
        <family val="0"/>
        <charset val="1"/>
      </rPr>
      <t xml:space="preserve">200: </t>
    </r>
    <r>
      <rPr>
        <sz val="10"/>
        <rFont val="Noto Sans CJK SC"/>
        <family val="2"/>
      </rPr>
      <t xml:space="preserve">원본에 보낸 필드를 덮어쓴 값 </t>
    </r>
    <r>
      <rPr>
        <sz val="10"/>
        <rFont val="Arial"/>
        <family val="0"/>
        <charset val="1"/>
      </rPr>
      <t xml:space="preserve">== </t>
    </r>
    <r>
      <rPr>
        <sz val="10"/>
        <rFont val="Noto Sans CJK SC"/>
        <family val="2"/>
      </rPr>
      <t xml:space="preserve">저장값 </t>
    </r>
    <r>
      <rPr>
        <sz val="10"/>
        <rFont val="Arial"/>
        <family val="0"/>
        <charset val="1"/>
      </rPr>
      <t xml:space="preserve">(bookingdates</t>
    </r>
    <r>
      <rPr>
        <sz val="10"/>
        <rFont val="Noto Sans CJK SC"/>
        <family val="2"/>
      </rPr>
      <t xml:space="preserve">는 안쪽 필드까지 합침</t>
    </r>
    <r>
      <rPr>
        <sz val="10"/>
        <rFont val="Arial"/>
        <family val="0"/>
        <charset val="1"/>
      </rPr>
      <t xml:space="preserve">)
</t>
    </r>
    <r>
      <rPr>
        <sz val="10"/>
        <rFont val="Noto Sans CJK SC"/>
        <family val="2"/>
      </rPr>
      <t xml:space="preserve">기대 </t>
    </r>
    <r>
      <rPr>
        <sz val="10"/>
        <rFont val="Arial"/>
        <family val="0"/>
        <charset val="1"/>
      </rPr>
      <t xml:space="preserve">400: </t>
    </r>
    <r>
      <rPr>
        <sz val="10"/>
        <rFont val="Noto Sans CJK SC"/>
        <family val="2"/>
      </rPr>
      <t xml:space="preserve">원본 </t>
    </r>
    <r>
      <rPr>
        <sz val="10"/>
        <rFont val="Arial"/>
        <family val="0"/>
        <charset val="1"/>
      </rPr>
      <t xml:space="preserve">== </t>
    </r>
    <r>
      <rPr>
        <sz val="10"/>
        <rFont val="Noto Sans CJK SC"/>
        <family val="2"/>
      </rPr>
      <t xml:space="preserve">저장값</t>
    </r>
  </si>
  <si>
    <t xml:space="preserve">data/patch-cases.json</t>
  </si>
  <si>
    <r>
      <rPr>
        <sz val="10"/>
        <rFont val="Noto Sans CJK SC"/>
        <family val="2"/>
      </rPr>
      <t xml:space="preserve">부분수정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데이터</t>
    </r>
  </si>
  <si>
    <r>
      <rPr>
        <sz val="10"/>
        <rFont val="Arial"/>
        <family val="0"/>
        <charset val="1"/>
      </rPr>
      <t xml:space="preserve">07-Data-Driven-Patch &gt; Auth → PATCH </t>
    </r>
    <r>
      <rPr>
        <sz val="10"/>
        <rFont val="Noto Sans CJK SC"/>
        <family val="2"/>
      </rPr>
      <t xml:space="preserve">용 예약생성 → </t>
    </r>
    <r>
      <rPr>
        <sz val="10"/>
        <rFont val="Arial"/>
        <family val="0"/>
        <charset val="1"/>
      </rPr>
      <t xml:space="preserve">PATCH → </t>
    </r>
    <r>
      <rPr>
        <sz val="10"/>
        <rFont val="Noto Sans CJK SC"/>
        <family val="2"/>
      </rPr>
      <t xml:space="preserve">수정 후 재조회 → 예약 삭제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</si>
  <si>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예약생성</t>
    </r>
    <r>
      <rPr>
        <sz val="10"/>
        <rFont val="Arial"/>
        <family val="0"/>
        <charset val="1"/>
      </rPr>
      <t xml:space="preserve">: originalBooking </t>
    </r>
    <r>
      <rPr>
        <sz val="10"/>
        <rFont val="Noto Sans CJK SC"/>
        <family val="2"/>
      </rPr>
      <t xml:space="preserve">비움
</t>
    </r>
    <r>
      <rPr>
        <sz val="10"/>
        <rFont val="Arial"/>
        <family val="0"/>
        <charset val="1"/>
      </rPr>
      <t xml:space="preserve">PATCH: </t>
    </r>
    <r>
      <rPr>
        <sz val="10"/>
        <rFont val="Noto Sans CJK SC"/>
        <family val="2"/>
      </rPr>
      <t xml:space="preserve">행의 </t>
    </r>
    <r>
      <rPr>
        <sz val="10"/>
        <rFont val="Arial"/>
        <family val="0"/>
        <charset val="1"/>
      </rPr>
      <t xml:space="preserve">body → JSON.stringify → requestBody </t>
    </r>
    <r>
      <rPr>
        <sz val="10"/>
        <rFont val="Noto Sans CJK SC"/>
        <family val="2"/>
      </rPr>
      <t xml:space="preserve">변수 저장</t>
    </r>
  </si>
  <si>
    <r>
      <rPr>
        <sz val="10"/>
        <rFont val="Noto Sans CJK SC"/>
        <family val="2"/>
      </rPr>
      <t xml:space="preserve">예약생성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상태 </t>
    </r>
    <r>
      <rPr>
        <sz val="10"/>
        <rFont val="Arial"/>
        <family val="0"/>
        <charset val="1"/>
      </rPr>
      <t xml:space="preserve">200 </t>
    </r>
    <r>
      <rPr>
        <sz val="10"/>
        <rFont val="Noto Sans CJK SC"/>
        <family val="2"/>
      </rPr>
      <t xml:space="preserve">판정</t>
    </r>
    <r>
      <rPr>
        <sz val="10"/>
        <rFont val="Arial"/>
        <family val="0"/>
        <charset val="1"/>
      </rPr>
      <t xml:space="preserve">, bookingid(environment)·</t>
    </r>
    <r>
      <rPr>
        <sz val="10"/>
        <rFont val="Noto Sans CJK SC"/>
        <family val="2"/>
      </rPr>
      <t xml:space="preserve">원본</t>
    </r>
    <r>
      <rPr>
        <sz val="10"/>
        <rFont val="Arial"/>
        <family val="0"/>
        <charset val="1"/>
      </rPr>
      <t xml:space="preserve">(variables) </t>
    </r>
    <r>
      <rPr>
        <sz val="10"/>
        <rFont val="Noto Sans CJK SC"/>
        <family val="2"/>
      </rPr>
      <t xml:space="preserve">저장
</t>
    </r>
    <r>
      <rPr>
        <sz val="10"/>
        <rFont val="Arial"/>
        <family val="0"/>
        <charset val="1"/>
      </rPr>
      <t xml:space="preserve">PATCH: </t>
    </r>
    <r>
      <rPr>
        <sz val="10"/>
        <rFont val="Noto Sans CJK SC"/>
        <family val="2"/>
      </rPr>
      <t xml:space="preserve">상태 코드 </t>
    </r>
    <r>
      <rPr>
        <sz val="10"/>
        <rFont val="Arial"/>
        <family val="0"/>
        <charset val="1"/>
      </rPr>
      <t xml:space="preserve">== expectedStatus </t>
    </r>
    <r>
      <rPr>
        <sz val="10"/>
        <rFont val="Noto Sans CJK SC"/>
        <family val="2"/>
      </rPr>
      <t xml:space="preserve">판정
재조회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판정 기준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저장값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대로 비교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다르면 기대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실제 로그
예약 삭제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상태 </t>
    </r>
    <r>
      <rPr>
        <sz val="10"/>
        <rFont val="Arial"/>
        <family val="0"/>
        <charset val="1"/>
      </rPr>
      <t xml:space="preserve">200·201·204 </t>
    </r>
    <r>
      <rPr>
        <sz val="10"/>
        <rFont val="Noto Sans CJK SC"/>
        <family val="2"/>
      </rPr>
      <t xml:space="preserve">판정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테스트 데이터 정리</t>
    </r>
    <r>
      <rPr>
        <sz val="10"/>
        <rFont val="Arial"/>
        <family val="0"/>
        <charset val="1"/>
      </rPr>
      <t xml:space="preserve">)</t>
    </r>
  </si>
  <si>
    <t xml:space="preserve">npm run test:data-patch</t>
  </si>
  <si>
    <t xml:space="preserve">분류</t>
  </si>
  <si>
    <t xml:space="preserve">케이스</t>
  </si>
  <si>
    <r>
      <rPr>
        <b val="true"/>
        <sz val="10"/>
        <rFont val="Noto Sans CJK SC"/>
        <family val="2"/>
      </rPr>
      <t xml:space="preserve">입력 </t>
    </r>
    <r>
      <rPr>
        <b val="true"/>
        <sz val="10"/>
        <rFont val="Arial"/>
        <family val="0"/>
        <charset val="1"/>
      </rPr>
      <t xml:space="preserve">body</t>
    </r>
  </si>
  <si>
    <r>
      <rPr>
        <b val="true"/>
        <sz val="10"/>
        <rFont val="Noto Sans CJK SC"/>
        <family val="2"/>
      </rPr>
      <t xml:space="preserve">기대 </t>
    </r>
    <r>
      <rPr>
        <b val="true"/>
        <sz val="10"/>
        <rFont val="Arial"/>
        <family val="0"/>
        <charset val="1"/>
      </rPr>
      <t xml:space="preserve">Status</t>
    </r>
  </si>
  <si>
    <r>
      <rPr>
        <b val="true"/>
        <sz val="10"/>
        <rFont val="Noto Sans CJK SC"/>
        <family val="2"/>
      </rPr>
      <t xml:space="preserve">기대 </t>
    </r>
    <r>
      <rPr>
        <b val="true"/>
        <sz val="10"/>
        <rFont val="Arial"/>
        <family val="0"/>
        <charset val="1"/>
      </rPr>
      <t xml:space="preserve">Response</t>
    </r>
  </si>
  <si>
    <t xml:space="preserve">기대 저장값</t>
  </si>
  <si>
    <r>
      <rPr>
        <b val="true"/>
        <sz val="10"/>
        <rFont val="Noto Sans CJK SC"/>
        <family val="2"/>
      </rPr>
      <t xml:space="preserve">실제 </t>
    </r>
    <r>
      <rPr>
        <b val="true"/>
        <sz val="10"/>
        <rFont val="Arial"/>
        <family val="0"/>
        <charset val="1"/>
      </rPr>
      <t xml:space="preserve">Status</t>
    </r>
  </si>
  <si>
    <r>
      <rPr>
        <b val="true"/>
        <sz val="10"/>
        <rFont val="Noto Sans CJK SC"/>
        <family val="2"/>
      </rPr>
      <t xml:space="preserve">실제 </t>
    </r>
    <r>
      <rPr>
        <b val="true"/>
        <sz val="10"/>
        <rFont val="Arial"/>
        <family val="0"/>
        <charset val="1"/>
      </rPr>
      <t xml:space="preserve">Response / </t>
    </r>
    <r>
      <rPr>
        <b val="true"/>
        <sz val="10"/>
        <rFont val="Noto Sans CJK SC"/>
        <family val="2"/>
      </rPr>
      <t xml:space="preserve">저장값</t>
    </r>
  </si>
  <si>
    <r>
      <rPr>
        <b val="true"/>
        <sz val="10"/>
        <rFont val="Noto Sans CJK SC"/>
        <family val="2"/>
      </rPr>
      <t xml:space="preserve">결함 </t>
    </r>
    <r>
      <rPr>
        <b val="true"/>
        <sz val="10"/>
        <rFont val="Arial"/>
        <family val="0"/>
        <charset val="1"/>
      </rPr>
      <t xml:space="preserve">ID</t>
    </r>
  </si>
  <si>
    <t xml:space="preserve">비고</t>
  </si>
  <si>
    <t xml:space="preserve">BKG-POST-001</t>
  </si>
  <si>
    <t xml:space="preserve">정상 생성</t>
  </si>
  <si>
    <t xml:space="preserve">전체 필드</t>
  </si>
  <si>
    <t xml:space="preserve">모든 필드를 정상 값으로 보내면 예약이 생성되는지 확인</t>
  </si>
  <si>
    <t xml:space="preserve">{
  "firstname": "Kim",
  "lastname": "QA1",
  "totalprice": 990,
  "depositpaid": true,
  "bookingdates": {
    "checkin": "2026-10-20",
    "checkout": "2026-11-01"
  },
  "additionalneeds": "brunch &amp; liquor"
}</t>
  </si>
  <si>
    <r>
      <rPr>
        <sz val="10"/>
        <rFont val="Arial"/>
        <family val="0"/>
        <charset val="1"/>
      </rPr>
      <t xml:space="preserve">bookingid </t>
    </r>
    <r>
      <rPr>
        <sz val="10"/>
        <rFont val="Noto Sans CJK SC"/>
        <family val="2"/>
      </rPr>
      <t xml:space="preserve">발급</t>
    </r>
    <r>
      <rPr>
        <sz val="10"/>
        <rFont val="Arial"/>
        <family val="0"/>
        <charset val="1"/>
      </rPr>
      <t xml:space="preserve">, booking = </t>
    </r>
    <r>
      <rPr>
        <sz val="10"/>
        <rFont val="Noto Sans CJK SC"/>
        <family val="2"/>
      </rPr>
      <t xml:space="preserve">보낸 값</t>
    </r>
  </si>
  <si>
    <t xml:space="preserve">기대결과와 동일</t>
  </si>
  <si>
    <t xml:space="preserve">BKG-POST-002</t>
  </si>
  <si>
    <t xml:space="preserve">범위 검증</t>
  </si>
  <si>
    <r>
      <rPr>
        <sz val="10"/>
        <rFont val="Arial"/>
        <family val="0"/>
        <charset val="1"/>
      </rPr>
      <t xml:space="preserve">totalprice </t>
    </r>
    <r>
      <rPr>
        <sz val="10"/>
        <rFont val="Noto Sans CJK SC"/>
        <family val="2"/>
      </rPr>
      <t xml:space="preserve">경계값</t>
    </r>
  </si>
  <si>
    <r>
      <rPr>
        <sz val="10"/>
        <rFont val="Noto Sans CJK SC"/>
        <family val="2"/>
      </rPr>
      <t xml:space="preserve">가격 경계값 </t>
    </r>
    <r>
      <rPr>
        <sz val="10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</si>
  <si>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가격 최솟값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로 예약이 생성되는지 확인</t>
    </r>
  </si>
  <si>
    <t xml:space="preserve">{
  "firstname": "Kim",
  "lastname": "QA2",
  "totalprice": 1,
  "depositpaid": true,
  "bookingdates": {
    "checkin": "2026-10-20",
    "checkout": "2026-11-01"
  },
  "additionalneeds": "Allergic to orange"
}</t>
  </si>
  <si>
    <t xml:space="preserve">BKG-POST-003</t>
  </si>
  <si>
    <r>
      <rPr>
        <sz val="10"/>
        <rFont val="Arial"/>
        <family val="0"/>
        <charset val="1"/>
      </rPr>
      <t xml:space="preserve">totalprice </t>
    </r>
    <r>
      <rPr>
        <sz val="10"/>
        <rFont val="Noto Sans CJK SC"/>
        <family val="2"/>
      </rPr>
      <t xml:space="preserve">음수</t>
    </r>
  </si>
  <si>
    <t xml:space="preserve">가격 음수</t>
  </si>
  <si>
    <t xml:space="preserve">음수 가격으로는 예약 생성이 거절되는지 확인</t>
  </si>
  <si>
    <t xml:space="preserve">{
  "firstname": "Kim",
  "lastname": "QA3",
  "totalprice": -990,
  "depositpaid": true,
  "bookingdates": {
    "checkin": "2026-10-20",
    "checkout": "2026-11-01"
  },
  "additionalneeds": "brunch &amp; liquor"
}</t>
  </si>
  <si>
    <r>
      <rPr>
        <sz val="10"/>
        <rFont val="Noto Sans CJK SC"/>
        <family val="2"/>
      </rPr>
      <t xml:space="preserve">에러 응답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예약 미생성</t>
    </r>
  </si>
  <si>
    <r>
      <rPr>
        <sz val="10"/>
        <rFont val="Arial"/>
        <family val="0"/>
        <charset val="1"/>
      </rPr>
      <t xml:space="preserve">bookingid </t>
    </r>
    <r>
      <rPr>
        <sz val="10"/>
        <rFont val="Noto Sans CJK SC"/>
        <family val="2"/>
      </rPr>
      <t xml:space="preserve">발급</t>
    </r>
    <r>
      <rPr>
        <sz val="10"/>
        <rFont val="Arial"/>
        <family val="0"/>
        <charset val="1"/>
      </rPr>
      <t xml:space="preserve">, totalprice -990 </t>
    </r>
    <r>
      <rPr>
        <sz val="10"/>
        <rFont val="Noto Sans CJK SC"/>
        <family val="2"/>
      </rPr>
      <t xml:space="preserve">저장</t>
    </r>
  </si>
  <si>
    <t xml:space="preserve">Bug-2</t>
  </si>
  <si>
    <t xml:space="preserve">BKG-POST-004</t>
  </si>
  <si>
    <t xml:space="preserve">타입 검증</t>
  </si>
  <si>
    <r>
      <rPr>
        <sz val="10"/>
        <rFont val="Arial"/>
        <family val="0"/>
        <charset val="1"/>
      </rPr>
      <t xml:space="preserve">totalprice </t>
    </r>
    <r>
      <rPr>
        <sz val="10"/>
        <rFont val="Noto Sans CJK SC"/>
        <family val="2"/>
      </rPr>
      <t xml:space="preserve">문자 섞임</t>
    </r>
  </si>
  <si>
    <t xml:space="preserve">가격에 문자열 포함</t>
  </si>
  <si>
    <t xml:space="preserve">숫자와 문자가 섞인 가격으로는 예약 생성이 거절되는지 확인</t>
  </si>
  <si>
    <r>
      <rPr>
        <sz val="9"/>
        <rFont val="Courier New"/>
        <family val="0"/>
        <charset val="1"/>
      </rPr>
      <t xml:space="preserve">{
  "firstname": "Kim",
  "lastname": "QA4",
  "totalprice": "9</t>
    </r>
    <r>
      <rPr>
        <sz val="9"/>
        <rFont val="Noto Sans CJK SC"/>
        <family val="2"/>
      </rPr>
      <t xml:space="preserve">ㅁ</t>
    </r>
    <r>
      <rPr>
        <sz val="9"/>
        <rFont val="Courier New"/>
        <family val="0"/>
        <charset val="1"/>
      </rPr>
      <t xml:space="preserve">90",
  "depositpaid": true,
  "bookingdates": {
    "checkin": "2026-10-20",
    "checkout": "2026-11-01"
  },
  "additionalneeds": "brunch &amp; liquor"
}</t>
    </r>
  </si>
  <si>
    <r>
      <rPr>
        <sz val="10"/>
        <rFont val="Arial"/>
        <family val="0"/>
        <charset val="1"/>
      </rPr>
      <t xml:space="preserve">bookingid </t>
    </r>
    <r>
      <rPr>
        <sz val="10"/>
        <rFont val="Noto Sans CJK SC"/>
        <family val="2"/>
      </rPr>
      <t xml:space="preserve">발급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예약 생성됨</t>
    </r>
  </si>
  <si>
    <t xml:space="preserve">Bug-10</t>
  </si>
  <si>
    <r>
      <rPr>
        <sz val="10"/>
        <rFont val="Arial"/>
        <family val="0"/>
        <charset val="1"/>
      </rPr>
      <t xml:space="preserve">Bug-10</t>
    </r>
    <r>
      <rPr>
        <sz val="10"/>
        <rFont val="Noto Sans CJK SC"/>
        <family val="2"/>
      </rPr>
      <t xml:space="preserve">과 같은 유형</t>
    </r>
  </si>
  <si>
    <t xml:space="preserve">BKG-POST-005</t>
  </si>
  <si>
    <t xml:space="preserve">필수값 검증</t>
  </si>
  <si>
    <r>
      <rPr>
        <sz val="10"/>
        <rFont val="Arial"/>
        <family val="0"/>
        <charset val="1"/>
      </rPr>
      <t xml:space="preserve">firstname </t>
    </r>
    <r>
      <rPr>
        <sz val="10"/>
        <rFont val="Noto Sans CJK SC"/>
        <family val="2"/>
      </rPr>
      <t xml:space="preserve">누락</t>
    </r>
  </si>
  <si>
    <r>
      <rPr>
        <sz val="10"/>
        <rFont val="Arial"/>
        <family val="0"/>
        <charset val="1"/>
      </rPr>
      <t xml:space="preserve">first name </t>
    </r>
    <r>
      <rPr>
        <sz val="10"/>
        <rFont val="Noto Sans CJK SC"/>
        <family val="2"/>
      </rPr>
      <t xml:space="preserve">누락</t>
    </r>
  </si>
  <si>
    <r>
      <rPr>
        <sz val="10"/>
        <rFont val="Noto Sans CJK SC"/>
        <family val="2"/>
      </rPr>
      <t xml:space="preserve">필수값 </t>
    </r>
    <r>
      <rPr>
        <sz val="10"/>
        <rFont val="Arial"/>
        <family val="0"/>
        <charset val="1"/>
      </rPr>
      <t xml:space="preserve">firstname</t>
    </r>
    <r>
      <rPr>
        <sz val="10"/>
        <rFont val="Noto Sans CJK SC"/>
        <family val="2"/>
      </rPr>
      <t xml:space="preserve">이 없으면 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으로 거절되는지 확인</t>
    </r>
  </si>
  <si>
    <t xml:space="preserve">{
  "lastname": "QA5",
  "totalprice": 990,
  "depositpaid": true,
  "bookingdates": {
    "checkin": "2026-10-20",
    "checkout": "2026-11-01"
  },
  "additionalneeds": "brunch &amp; liquor"
}</t>
  </si>
  <si>
    <t xml:space="preserve">에러 응답</t>
  </si>
  <si>
    <t xml:space="preserve">Bug-5</t>
  </si>
  <si>
    <t xml:space="preserve">BKG-POST-006</t>
  </si>
  <si>
    <t xml:space="preserve">날짜 검증</t>
  </si>
  <si>
    <r>
      <rPr>
        <sz val="10"/>
        <rFont val="Noto Sans CJK SC"/>
        <family val="2"/>
      </rPr>
      <t xml:space="preserve">체크인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아웃 역전</t>
    </r>
  </si>
  <si>
    <r>
      <rPr>
        <sz val="10"/>
        <rFont val="Noto Sans CJK SC"/>
        <family val="2"/>
      </rPr>
      <t xml:space="preserve">체크인</t>
    </r>
    <r>
      <rPr>
        <sz val="10"/>
        <rFont val="Arial"/>
        <family val="0"/>
        <charset val="1"/>
      </rPr>
      <t xml:space="preserve">*</t>
    </r>
    <r>
      <rPr>
        <sz val="10"/>
        <rFont val="Noto Sans CJK SC"/>
        <family val="2"/>
      </rPr>
      <t xml:space="preserve">아웃 날짜 역전</t>
    </r>
  </si>
  <si>
    <t xml:space="preserve">체크아웃이 체크인보다 이전이면 예약 생성이 거절되는지 확인</t>
  </si>
  <si>
    <t xml:space="preserve">{
  "firstname": "Kim",
  "lastname": "QA6",
  "totalprice": 990,
  "depositpaid": true,
  "bookingdates": {
    "checkin": "2026-11-20",
    "checkout": "2026-11-01"
  },
  "additionalneeds": "brunch &amp; liquor"
}</t>
  </si>
  <si>
    <r>
      <rPr>
        <sz val="10"/>
        <rFont val="Arial"/>
        <family val="0"/>
        <charset val="1"/>
      </rPr>
      <t xml:space="preserve">bookingid </t>
    </r>
    <r>
      <rPr>
        <sz val="10"/>
        <rFont val="Noto Sans CJK SC"/>
        <family val="2"/>
      </rPr>
      <t xml:space="preserve">발급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역전된 날짜 그대로 저장</t>
    </r>
  </si>
  <si>
    <t xml:space="preserve">Bug-6</t>
  </si>
  <si>
    <t xml:space="preserve">BKG-POST-007</t>
  </si>
  <si>
    <r>
      <rPr>
        <sz val="10"/>
        <rFont val="Arial"/>
        <family val="0"/>
        <charset val="1"/>
      </rPr>
      <t xml:space="preserve">checkin </t>
    </r>
    <r>
      <rPr>
        <sz val="10"/>
        <rFont val="Noto Sans CJK SC"/>
        <family val="2"/>
      </rPr>
      <t xml:space="preserve">형식 오류</t>
    </r>
  </si>
  <si>
    <t xml:space="preserve">체크인 형식 오류</t>
  </si>
  <si>
    <t xml:space="preserve">날짜가 아닌 형식의 체크인으로는 예약 생성이 거절되는지 확인</t>
  </si>
  <si>
    <t xml:space="preserve">{
  "firstname": "Kim",
  "lastname": "QA7",
  "totalprice": 990,
  "depositpaid": true,
  "bookingdates": {
    "checkin": "26th Oct 2026",
    "checkout": "2026-11-01"
  },
  "additionalneeds": "brunch &amp; liquor"
}</t>
  </si>
  <si>
    <r>
      <rPr>
        <sz val="10"/>
        <rFont val="Arial"/>
        <family val="0"/>
        <charset val="1"/>
      </rPr>
      <t xml:space="preserve">bookingid </t>
    </r>
    <r>
      <rPr>
        <sz val="10"/>
        <rFont val="Noto Sans CJK SC"/>
        <family val="2"/>
      </rPr>
      <t xml:space="preserve">발급</t>
    </r>
    <r>
      <rPr>
        <sz val="10"/>
        <rFont val="Arial"/>
        <family val="0"/>
        <charset val="1"/>
      </rPr>
      <t xml:space="preserve">, checkin 0NaN-aN-aN </t>
    </r>
    <r>
      <rPr>
        <sz val="10"/>
        <rFont val="Noto Sans CJK SC"/>
        <family val="2"/>
      </rPr>
      <t xml:space="preserve">저장</t>
    </r>
  </si>
  <si>
    <t xml:space="preserve">Bug-7</t>
  </si>
  <si>
    <t xml:space="preserve">BKG-POST-008</t>
  </si>
  <si>
    <r>
      <rPr>
        <sz val="10"/>
        <rFont val="Arial"/>
        <family val="0"/>
        <charset val="1"/>
      </rPr>
      <t xml:space="preserve">depositpaid </t>
    </r>
    <r>
      <rPr>
        <sz val="10"/>
        <rFont val="Noto Sans CJK SC"/>
        <family val="2"/>
      </rPr>
      <t xml:space="preserve">문자열 </t>
    </r>
    <r>
      <rPr>
        <sz val="10"/>
        <rFont val="Arial"/>
        <family val="0"/>
        <charset val="1"/>
      </rPr>
      <t xml:space="preserve">true</t>
    </r>
  </si>
  <si>
    <r>
      <rPr>
        <sz val="10"/>
        <rFont val="Arial"/>
        <family val="0"/>
        <charset val="1"/>
      </rPr>
      <t xml:space="preserve">depositpaid </t>
    </r>
    <r>
      <rPr>
        <sz val="10"/>
        <rFont val="Noto Sans CJK SC"/>
        <family val="2"/>
      </rPr>
      <t xml:space="preserve">문자열</t>
    </r>
  </si>
  <si>
    <r>
      <rPr>
        <sz val="10"/>
        <rFont val="Arial"/>
        <family val="0"/>
        <charset val="1"/>
      </rPr>
      <t xml:space="preserve">boolean </t>
    </r>
    <r>
      <rPr>
        <sz val="10"/>
        <rFont val="Noto Sans CJK SC"/>
        <family val="2"/>
      </rPr>
      <t xml:space="preserve">필드에 문자열 </t>
    </r>
    <r>
      <rPr>
        <sz val="10"/>
        <rFont val="Arial"/>
        <family val="0"/>
        <charset val="1"/>
      </rPr>
      <t xml:space="preserve">"true"</t>
    </r>
    <r>
      <rPr>
        <sz val="10"/>
        <rFont val="Noto Sans CJK SC"/>
        <family val="2"/>
      </rPr>
      <t xml:space="preserve">를 보내면 거절되는지 확인</t>
    </r>
  </si>
  <si>
    <t xml:space="preserve">{
  "firstname": "Kim",
  "lastname": "QA8",
  "totalprice": 990,
  "depositpaid": "true",
  "bookingdates": {
    "checkin": "2026-10-20",
    "checkout": "2026-11-01"
  },
  "additionalneeds": "brunch &amp; liquor"
}</t>
  </si>
  <si>
    <r>
      <rPr>
        <sz val="10"/>
        <rFont val="Arial"/>
        <family val="0"/>
        <charset val="1"/>
      </rPr>
      <t xml:space="preserve">bookingid </t>
    </r>
    <r>
      <rPr>
        <sz val="10"/>
        <rFont val="Noto Sans CJK SC"/>
        <family val="2"/>
      </rPr>
      <t xml:space="preserve">발급</t>
    </r>
    <r>
      <rPr>
        <sz val="10"/>
        <rFont val="Arial"/>
        <family val="0"/>
        <charset val="1"/>
      </rPr>
      <t xml:space="preserve">, depositpaid true </t>
    </r>
    <r>
      <rPr>
        <sz val="10"/>
        <rFont val="Noto Sans CJK SC"/>
        <family val="2"/>
      </rPr>
      <t xml:space="preserve">저장</t>
    </r>
  </si>
  <si>
    <t xml:space="preserve">D-1</t>
  </si>
  <si>
    <t xml:space="preserve">명세 외 타입 허용</t>
  </si>
  <si>
    <t xml:space="preserve">BKG-POST-009</t>
  </si>
  <si>
    <r>
      <rPr>
        <sz val="10"/>
        <rFont val="Arial"/>
        <family val="0"/>
        <charset val="1"/>
      </rPr>
      <t xml:space="preserve">depositpaid </t>
    </r>
    <r>
      <rPr>
        <sz val="10"/>
        <rFont val="Noto Sans CJK SC"/>
        <family val="2"/>
      </rPr>
      <t xml:space="preserve">문자열 </t>
    </r>
    <r>
      <rPr>
        <sz val="10"/>
        <rFont val="Arial"/>
        <family val="0"/>
        <charset val="1"/>
      </rPr>
      <t xml:space="preserve">false</t>
    </r>
  </si>
  <si>
    <r>
      <rPr>
        <sz val="10"/>
        <rFont val="Arial"/>
        <family val="0"/>
        <charset val="1"/>
      </rPr>
      <t xml:space="preserve">depositpaid </t>
    </r>
    <r>
      <rPr>
        <sz val="10"/>
        <rFont val="Noto Sans CJK SC"/>
        <family val="2"/>
      </rPr>
      <t xml:space="preserve">문자열 </t>
    </r>
    <r>
      <rPr>
        <sz val="10"/>
        <rFont val="Arial"/>
        <family val="0"/>
        <charset val="1"/>
      </rPr>
      <t xml:space="preserve">false</t>
    </r>
    <r>
      <rPr>
        <sz val="10"/>
        <rFont val="Noto Sans CJK SC"/>
        <family val="2"/>
      </rPr>
      <t xml:space="preserve">값</t>
    </r>
  </si>
  <si>
    <r>
      <rPr>
        <sz val="10"/>
        <rFont val="Arial"/>
        <family val="0"/>
        <charset val="1"/>
      </rPr>
      <t xml:space="preserve">boolean </t>
    </r>
    <r>
      <rPr>
        <sz val="10"/>
        <rFont val="Noto Sans CJK SC"/>
        <family val="2"/>
      </rPr>
      <t xml:space="preserve">필드에 문자열 </t>
    </r>
    <r>
      <rPr>
        <sz val="10"/>
        <rFont val="Arial"/>
        <family val="0"/>
        <charset val="1"/>
      </rPr>
      <t xml:space="preserve">"false"</t>
    </r>
    <r>
      <rPr>
        <sz val="10"/>
        <rFont val="Noto Sans CJK SC"/>
        <family val="2"/>
      </rPr>
      <t xml:space="preserve">를 보내면 거절되는지 확인</t>
    </r>
  </si>
  <si>
    <t xml:space="preserve">{
  "firstname": "Kim",
  "lastname": "QA9",
  "totalprice": 990,
  "depositpaid": "false",
  "bookingdates": {
    "checkin": "2026-10-20",
    "checkout": "2026-11-01"
  },
  "additionalneeds": "brunch &amp; liquor"
}</t>
  </si>
  <si>
    <t xml:space="preserve">D-2</t>
  </si>
  <si>
    <t xml:space="preserve">보낸 의미와 반대 값으로 저장됨</t>
  </si>
  <si>
    <t xml:space="preserve">BKG-PATCH-001</t>
  </si>
  <si>
    <t xml:space="preserve">정상 수정</t>
  </si>
  <si>
    <r>
      <rPr>
        <sz val="10"/>
        <rFont val="Noto Sans CJK SC"/>
        <family val="2"/>
      </rPr>
      <t xml:space="preserve">전체 필드 </t>
    </r>
    <r>
      <rPr>
        <sz val="10"/>
        <rFont val="Arial"/>
        <family val="0"/>
        <charset val="1"/>
      </rPr>
      <t xml:space="preserve">A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</si>
  <si>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전체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모든 필드 정상 수정 </t>
    </r>
    <r>
      <rPr>
        <sz val="10"/>
        <rFont val="Arial"/>
        <family val="0"/>
        <charset val="1"/>
      </rPr>
      <t xml:space="preserve">A</t>
    </r>
  </si>
  <si>
    <t xml:space="preserve">모든 필드를 정상 값으로 수정하면 보낸 값으로 저장되는지 확인</t>
  </si>
  <si>
    <t xml:space="preserve">{
  "firstname": "KimPatch",
  "lastname": "QA",
  "totalprice": 8990,
  "depositpaid": true,
  "bookingdates": {
    "checkin": "2026-10-20",
    "checkout": "2026-11-01"
  },
  "additionalneeds": "brunch &amp; liquor PATCH"
}</t>
  </si>
  <si>
    <r>
      <rPr>
        <sz val="10"/>
        <rFont val="Noto Sans CJK SC"/>
        <family val="2"/>
      </rPr>
      <t xml:space="preserve">수정된 </t>
    </r>
    <r>
      <rPr>
        <sz val="10"/>
        <rFont val="Arial"/>
        <family val="0"/>
        <charset val="1"/>
      </rPr>
      <t xml:space="preserve">booking </t>
    </r>
    <r>
      <rPr>
        <sz val="10"/>
        <rFont val="Noto Sans CJK SC"/>
        <family val="2"/>
      </rPr>
      <t xml:space="preserve">반환</t>
    </r>
  </si>
  <si>
    <r>
      <rPr>
        <sz val="10"/>
        <rFont val="Arial"/>
        <family val="0"/>
        <charset val="1"/>
      </rPr>
      <t xml:space="preserve">firstname = "KimPatch", lastname = "QA", totalprice = 8990, depositpaid = true, checkin = 2026-10-20, checkout = 2026-11-01, additionalneeds = "brunch &amp; liquor PATCH"</t>
    </r>
    <r>
      <rPr>
        <sz val="10"/>
        <rFont val="Noto Sans CJK SC"/>
        <family val="2"/>
      </rPr>
      <t xml:space="preserve">로 변경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나머지는 원본 유지</t>
    </r>
  </si>
  <si>
    <t xml:space="preserve">BKG-PATCH-002</t>
  </si>
  <si>
    <r>
      <rPr>
        <sz val="10"/>
        <rFont val="Noto Sans CJK SC"/>
        <family val="2"/>
      </rPr>
      <t xml:space="preserve">전체 필드 </t>
    </r>
    <r>
      <rPr>
        <sz val="10"/>
        <rFont val="Arial"/>
        <family val="0"/>
        <charset val="1"/>
      </rPr>
      <t xml:space="preserve">B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</si>
  <si>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전체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모든 필드 정상 수정 </t>
    </r>
    <r>
      <rPr>
        <sz val="10"/>
        <rFont val="Arial"/>
        <family val="0"/>
        <charset val="1"/>
      </rPr>
      <t xml:space="preserve">B (deposit false)</t>
    </r>
  </si>
  <si>
    <r>
      <rPr>
        <sz val="10"/>
        <rFont val="Noto Sans CJK SC"/>
        <family val="2"/>
      </rPr>
      <t xml:space="preserve">모든 필드를 다른 정상 값</t>
    </r>
    <r>
      <rPr>
        <sz val="10"/>
        <rFont val="Arial"/>
        <family val="0"/>
        <charset val="1"/>
      </rPr>
      <t xml:space="preserve">(depositpaid false </t>
    </r>
    <r>
      <rPr>
        <sz val="10"/>
        <rFont val="Noto Sans CJK SC"/>
        <family val="2"/>
      </rPr>
      <t xml:space="preserve">포함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으로 수정하면 보낸 값으로 저장되는지 확인</t>
    </r>
  </si>
  <si>
    <t xml:space="preserve">{
  "firstname": "Lee",
  "lastname": "Tester",
  "totalprice": 1,
  "depositpaid": false,
  "bookingdates": {
    "checkin": "2026-12-24",
    "checkout": "2026-12-26"
  },
  "additionalneeds": "Allergic to orange"
}</t>
  </si>
  <si>
    <r>
      <rPr>
        <sz val="10"/>
        <rFont val="Arial"/>
        <family val="0"/>
        <charset val="1"/>
      </rPr>
      <t xml:space="preserve">firstname = "Lee", lastname = "Tester", totalprice = 1, depositpaid = false, checkin = 2026-12-24, checkout = 2026-12-26, additionalneeds = "Allergic to orange"</t>
    </r>
    <r>
      <rPr>
        <sz val="10"/>
        <rFont val="Noto Sans CJK SC"/>
        <family val="2"/>
      </rPr>
      <t xml:space="preserve">로 변경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나머지는 원본 유지</t>
    </r>
  </si>
  <si>
    <t xml:space="preserve">BKG-PATCH-003</t>
  </si>
  <si>
    <t xml:space="preserve">firstname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</si>
  <si>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단일</t>
    </r>
    <r>
      <rPr>
        <sz val="10"/>
        <rFont val="Arial"/>
        <family val="0"/>
        <charset val="1"/>
      </rPr>
      <t xml:space="preserve">] firstname</t>
    </r>
    <r>
      <rPr>
        <sz val="10"/>
        <rFont val="Noto Sans CJK SC"/>
        <family val="2"/>
      </rPr>
      <t xml:space="preserve">만 수정</t>
    </r>
  </si>
  <si>
    <r>
      <rPr>
        <sz val="10"/>
        <rFont val="Arial"/>
        <family val="0"/>
        <charset val="1"/>
      </rPr>
      <t xml:space="preserve">firstname</t>
    </r>
    <r>
      <rPr>
        <sz val="10"/>
        <rFont val="Noto Sans CJK SC"/>
        <family val="2"/>
      </rPr>
      <t xml:space="preserve">만 보내면 </t>
    </r>
    <r>
      <rPr>
        <sz val="10"/>
        <rFont val="Arial"/>
        <family val="0"/>
        <charset val="1"/>
      </rPr>
      <t xml:space="preserve">firstname</t>
    </r>
    <r>
      <rPr>
        <sz val="10"/>
        <rFont val="Noto Sans CJK SC"/>
        <family val="2"/>
      </rPr>
      <t xml:space="preserve">만 바뀌고 나머지는 유지되는지 확인</t>
    </r>
  </si>
  <si>
    <t xml:space="preserve">{
  "firstname": "KimPatch"
}</t>
  </si>
  <si>
    <r>
      <rPr>
        <sz val="10"/>
        <rFont val="Arial"/>
        <family val="0"/>
        <charset val="1"/>
      </rPr>
      <t xml:space="preserve">firstname = "KimPatch"</t>
    </r>
    <r>
      <rPr>
        <sz val="10"/>
        <rFont val="Noto Sans CJK SC"/>
        <family val="2"/>
      </rPr>
      <t xml:space="preserve">로 변경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나머지는 원본 유지</t>
    </r>
  </si>
  <si>
    <t xml:space="preserve">BKG-PATCH-004</t>
  </si>
  <si>
    <t xml:space="preserve">lastname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</si>
  <si>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단일</t>
    </r>
    <r>
      <rPr>
        <sz val="10"/>
        <rFont val="Arial"/>
        <family val="0"/>
        <charset val="1"/>
      </rPr>
      <t xml:space="preserve">] lastname</t>
    </r>
    <r>
      <rPr>
        <sz val="10"/>
        <rFont val="Noto Sans CJK SC"/>
        <family val="2"/>
      </rPr>
      <t xml:space="preserve">만 수정</t>
    </r>
  </si>
  <si>
    <r>
      <rPr>
        <sz val="10"/>
        <rFont val="Arial"/>
        <family val="0"/>
        <charset val="1"/>
      </rPr>
      <t xml:space="preserve">lastname</t>
    </r>
    <r>
      <rPr>
        <sz val="10"/>
        <rFont val="Noto Sans CJK SC"/>
        <family val="2"/>
      </rPr>
      <t xml:space="preserve">만 보내면 </t>
    </r>
    <r>
      <rPr>
        <sz val="10"/>
        <rFont val="Arial"/>
        <family val="0"/>
        <charset val="1"/>
      </rPr>
      <t xml:space="preserve">lastname</t>
    </r>
    <r>
      <rPr>
        <sz val="10"/>
        <rFont val="Noto Sans CJK SC"/>
        <family val="2"/>
      </rPr>
      <t xml:space="preserve">만 바뀌고 나머지는 유지되는지 확인</t>
    </r>
  </si>
  <si>
    <t xml:space="preserve">{
  "lastname": "QA"
}</t>
  </si>
  <si>
    <r>
      <rPr>
        <sz val="10"/>
        <rFont val="Arial"/>
        <family val="0"/>
        <charset val="1"/>
      </rPr>
      <t xml:space="preserve">lastname = "QA"</t>
    </r>
    <r>
      <rPr>
        <sz val="10"/>
        <rFont val="Noto Sans CJK SC"/>
        <family val="2"/>
      </rPr>
      <t xml:space="preserve">로 변경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나머지는 원본 유지</t>
    </r>
  </si>
  <si>
    <t xml:space="preserve">BKG-PATCH-005</t>
  </si>
  <si>
    <t xml:space="preserve">totalprice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</si>
  <si>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단일</t>
    </r>
    <r>
      <rPr>
        <sz val="10"/>
        <rFont val="Arial"/>
        <family val="0"/>
        <charset val="1"/>
      </rPr>
      <t xml:space="preserve">] totalprice</t>
    </r>
    <r>
      <rPr>
        <sz val="10"/>
        <rFont val="Noto Sans CJK SC"/>
        <family val="2"/>
      </rPr>
      <t xml:space="preserve">만 수정</t>
    </r>
  </si>
  <si>
    <r>
      <rPr>
        <sz val="10"/>
        <rFont val="Arial"/>
        <family val="0"/>
        <charset val="1"/>
      </rPr>
      <t xml:space="preserve">totalprice</t>
    </r>
    <r>
      <rPr>
        <sz val="10"/>
        <rFont val="Noto Sans CJK SC"/>
        <family val="2"/>
      </rPr>
      <t xml:space="preserve">만 보내면 </t>
    </r>
    <r>
      <rPr>
        <sz val="10"/>
        <rFont val="Arial"/>
        <family val="0"/>
        <charset val="1"/>
      </rPr>
      <t xml:space="preserve">totalprice</t>
    </r>
    <r>
      <rPr>
        <sz val="10"/>
        <rFont val="Noto Sans CJK SC"/>
        <family val="2"/>
      </rPr>
      <t xml:space="preserve">만 바뀌고 나머지는 유지되는지 확인</t>
    </r>
  </si>
  <si>
    <t xml:space="preserve">{
  "totalprice": 8990
}</t>
  </si>
  <si>
    <r>
      <rPr>
        <sz val="10"/>
        <rFont val="Arial"/>
        <family val="0"/>
        <charset val="1"/>
      </rPr>
      <t xml:space="preserve">totalprice = 8990</t>
    </r>
    <r>
      <rPr>
        <sz val="10"/>
        <rFont val="Noto Sans CJK SC"/>
        <family val="2"/>
      </rPr>
      <t xml:space="preserve">로 변경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나머지는 원본 유지</t>
    </r>
  </si>
  <si>
    <t xml:space="preserve">BKG-PATCH-006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</si>
  <si>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단일</t>
    </r>
    <r>
      <rPr>
        <sz val="10"/>
        <rFont val="Arial"/>
        <family val="0"/>
        <charset val="1"/>
      </rPr>
      <t xml:space="preserve">] totalprice </t>
    </r>
    <r>
      <rPr>
        <sz val="10"/>
        <rFont val="Noto Sans CJK SC"/>
        <family val="2"/>
      </rPr>
      <t xml:space="preserve">경계값 </t>
    </r>
    <r>
      <rPr>
        <sz val="10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</si>
  <si>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가격 최솟값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로 수정되는지 확인</t>
    </r>
  </si>
  <si>
    <t xml:space="preserve">{
  "totalprice": 1
}</t>
  </si>
  <si>
    <r>
      <rPr>
        <sz val="10"/>
        <rFont val="Arial"/>
        <family val="0"/>
        <charset val="1"/>
      </rPr>
      <t xml:space="preserve">totalprice = 1</t>
    </r>
    <r>
      <rPr>
        <sz val="10"/>
        <rFont val="Noto Sans CJK SC"/>
        <family val="2"/>
      </rPr>
      <t xml:space="preserve">로 변경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나머지는 원본 유지</t>
    </r>
  </si>
  <si>
    <t xml:space="preserve">BKG-PATCH-007</t>
  </si>
  <si>
    <t xml:space="preserve">depositpaid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</si>
  <si>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단일</t>
    </r>
    <r>
      <rPr>
        <sz val="10"/>
        <rFont val="Arial"/>
        <family val="0"/>
        <charset val="1"/>
      </rPr>
      <t xml:space="preserve">] depositpaid</t>
    </r>
    <r>
      <rPr>
        <sz val="10"/>
        <rFont val="Noto Sans CJK SC"/>
        <family val="2"/>
      </rPr>
      <t xml:space="preserve">만 </t>
    </r>
    <r>
      <rPr>
        <sz val="10"/>
        <rFont val="Arial"/>
        <family val="0"/>
        <charset val="1"/>
      </rPr>
      <t xml:space="preserve">false</t>
    </r>
    <r>
      <rPr>
        <sz val="10"/>
        <rFont val="Noto Sans CJK SC"/>
        <family val="2"/>
      </rPr>
      <t xml:space="preserve">로 수정</t>
    </r>
  </si>
  <si>
    <r>
      <rPr>
        <sz val="10"/>
        <rFont val="Arial"/>
        <family val="0"/>
        <charset val="1"/>
      </rPr>
      <t xml:space="preserve">depositpaid</t>
    </r>
    <r>
      <rPr>
        <sz val="10"/>
        <rFont val="Noto Sans CJK SC"/>
        <family val="2"/>
      </rPr>
      <t xml:space="preserve">만 </t>
    </r>
    <r>
      <rPr>
        <sz val="10"/>
        <rFont val="Arial"/>
        <family val="0"/>
        <charset val="1"/>
      </rPr>
      <t xml:space="preserve">false</t>
    </r>
    <r>
      <rPr>
        <sz val="10"/>
        <rFont val="Noto Sans CJK SC"/>
        <family val="2"/>
      </rPr>
      <t xml:space="preserve">로 보내면 </t>
    </r>
    <r>
      <rPr>
        <sz val="10"/>
        <rFont val="Arial"/>
        <family val="0"/>
        <charset val="1"/>
      </rPr>
      <t xml:space="preserve">depositpaid</t>
    </r>
    <r>
      <rPr>
        <sz val="10"/>
        <rFont val="Noto Sans CJK SC"/>
        <family val="2"/>
      </rPr>
      <t xml:space="preserve">만 바뀌는지 확인</t>
    </r>
  </si>
  <si>
    <t xml:space="preserve">{
  "depositpaid": false
}</t>
  </si>
  <si>
    <r>
      <rPr>
        <sz val="10"/>
        <rFont val="Arial"/>
        <family val="0"/>
        <charset val="1"/>
      </rPr>
      <t xml:space="preserve">depositpaid = false</t>
    </r>
    <r>
      <rPr>
        <sz val="10"/>
        <rFont val="Noto Sans CJK SC"/>
        <family val="2"/>
      </rPr>
      <t xml:space="preserve">로 변경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나머지는 원본 유지</t>
    </r>
  </si>
  <si>
    <t xml:space="preserve">BKG-PATCH-008</t>
  </si>
  <si>
    <r>
      <rPr>
        <sz val="10"/>
        <rFont val="Arial"/>
        <family val="0"/>
        <charset val="1"/>
      </rPr>
      <t xml:space="preserve">bookingdates </t>
    </r>
    <r>
      <rPr>
        <sz val="10"/>
        <rFont val="Noto Sans CJK SC"/>
        <family val="2"/>
      </rPr>
      <t xml:space="preserve">전체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</si>
  <si>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단일</t>
    </r>
    <r>
      <rPr>
        <sz val="10"/>
        <rFont val="Arial"/>
        <family val="0"/>
        <charset val="1"/>
      </rPr>
      <t xml:space="preserve">] bookingdates </t>
    </r>
    <r>
      <rPr>
        <sz val="10"/>
        <rFont val="Noto Sans CJK SC"/>
        <family val="2"/>
      </rPr>
      <t xml:space="preserve">전체 수정</t>
    </r>
  </si>
  <si>
    <r>
      <rPr>
        <sz val="10"/>
        <rFont val="Arial"/>
        <family val="0"/>
        <charset val="1"/>
      </rPr>
      <t xml:space="preserve">checkin·checkout</t>
    </r>
    <r>
      <rPr>
        <sz val="10"/>
        <rFont val="Noto Sans CJK SC"/>
        <family val="2"/>
      </rPr>
      <t xml:space="preserve">을 함께 보내면 두 날짜만 바뀌는지 확인</t>
    </r>
  </si>
  <si>
    <t xml:space="preserve">{
  "bookingdates": {
    "checkin": "2018-06-01",
    "checkout": "2018-06-10"
  }
}</t>
  </si>
  <si>
    <r>
      <rPr>
        <sz val="10"/>
        <rFont val="Arial"/>
        <family val="0"/>
        <charset val="1"/>
      </rPr>
      <t xml:space="preserve">checkin = 2018-06-01, checkout = 2018-06-10</t>
    </r>
    <r>
      <rPr>
        <sz val="10"/>
        <rFont val="Noto Sans CJK SC"/>
        <family val="2"/>
      </rPr>
      <t xml:space="preserve">로 변경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나머지는 원본 유지</t>
    </r>
  </si>
  <si>
    <t xml:space="preserve">BKG-PATCH-009</t>
  </si>
  <si>
    <t xml:space="preserve">additionalneeds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</si>
  <si>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단일</t>
    </r>
    <r>
      <rPr>
        <sz val="10"/>
        <rFont val="Arial"/>
        <family val="0"/>
        <charset val="1"/>
      </rPr>
      <t xml:space="preserve">] additionalneeds</t>
    </r>
    <r>
      <rPr>
        <sz val="10"/>
        <rFont val="Noto Sans CJK SC"/>
        <family val="2"/>
      </rPr>
      <t xml:space="preserve">만 수정</t>
    </r>
  </si>
  <si>
    <r>
      <rPr>
        <sz val="10"/>
        <rFont val="Arial"/>
        <family val="0"/>
        <charset val="1"/>
      </rPr>
      <t xml:space="preserve">additionalneeds</t>
    </r>
    <r>
      <rPr>
        <sz val="10"/>
        <rFont val="Noto Sans CJK SC"/>
        <family val="2"/>
      </rPr>
      <t xml:space="preserve">만 보내면 </t>
    </r>
    <r>
      <rPr>
        <sz val="10"/>
        <rFont val="Arial"/>
        <family val="0"/>
        <charset val="1"/>
      </rPr>
      <t xml:space="preserve">additionalneeds</t>
    </r>
    <r>
      <rPr>
        <sz val="10"/>
        <rFont val="Noto Sans CJK SC"/>
        <family val="2"/>
      </rPr>
      <t xml:space="preserve">만 바뀌는지 확인</t>
    </r>
  </si>
  <si>
    <t xml:space="preserve">{
  "additionalneeds": "Late checkout"
}</t>
  </si>
  <si>
    <r>
      <rPr>
        <sz val="10"/>
        <rFont val="Arial"/>
        <family val="0"/>
        <charset val="1"/>
      </rPr>
      <t xml:space="preserve">additionalneeds = "Late checkout"</t>
    </r>
    <r>
      <rPr>
        <sz val="10"/>
        <rFont val="Noto Sans CJK SC"/>
        <family val="2"/>
      </rPr>
      <t xml:space="preserve">로 변경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나머지는 원본 유지</t>
    </r>
  </si>
  <si>
    <t xml:space="preserve">BKG-PATCH-010</t>
  </si>
  <si>
    <r>
      <rPr>
        <sz val="10"/>
        <rFont val="Arial"/>
        <family val="0"/>
        <charset val="1"/>
      </rPr>
      <t xml:space="preserve">firstname </t>
    </r>
    <r>
      <rPr>
        <sz val="10"/>
        <rFont val="Noto Sans CJK SC"/>
        <family val="2"/>
      </rPr>
      <t xml:space="preserve">숫자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</si>
  <si>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타입</t>
    </r>
    <r>
      <rPr>
        <sz val="10"/>
        <rFont val="Arial"/>
        <family val="0"/>
        <charset val="1"/>
      </rPr>
      <t xml:space="preserve">] firstname </t>
    </r>
    <r>
      <rPr>
        <sz val="10"/>
        <rFont val="Noto Sans CJK SC"/>
        <family val="2"/>
      </rPr>
      <t xml:space="preserve">숫자</t>
    </r>
  </si>
  <si>
    <r>
      <rPr>
        <sz val="10"/>
        <rFont val="Noto Sans CJK SC"/>
        <family val="2"/>
      </rPr>
      <t xml:space="preserve">문자열 필드 </t>
    </r>
    <r>
      <rPr>
        <sz val="10"/>
        <rFont val="Arial"/>
        <family val="0"/>
        <charset val="1"/>
      </rPr>
      <t xml:space="preserve">firstname</t>
    </r>
    <r>
      <rPr>
        <sz val="10"/>
        <rFont val="Noto Sans CJK SC"/>
        <family val="2"/>
      </rPr>
      <t xml:space="preserve">에 숫자를 보내면 수정이 거절되는지 확인</t>
    </r>
  </si>
  <si>
    <t xml:space="preserve">{
  "firstname": 123
}</t>
  </si>
  <si>
    <r>
      <rPr>
        <sz val="10"/>
        <rFont val="Noto Sans CJK SC"/>
        <family val="2"/>
      </rPr>
      <t xml:space="preserve">에러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수정되지 않음</t>
    </r>
    <r>
      <rPr>
        <sz val="10"/>
        <rFont val="Arial"/>
        <family val="0"/>
        <charset val="1"/>
      </rPr>
      <t xml:space="preserve">)</t>
    </r>
  </si>
  <si>
    <t xml:space="preserve">원본과 동일</t>
  </si>
  <si>
    <r>
      <rPr>
        <sz val="10"/>
        <rFont val="Arial"/>
        <family val="0"/>
        <charset val="1"/>
      </rPr>
      <t xml:space="preserve">firstname = 123 (</t>
    </r>
    <r>
      <rPr>
        <sz val="10"/>
        <rFont val="Noto Sans CJK SC"/>
        <family val="2"/>
      </rPr>
      <t xml:space="preserve">숫자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저장</t>
    </r>
  </si>
  <si>
    <t xml:space="preserve">P-3</t>
  </si>
  <si>
    <t xml:space="preserve">BKG-PATCH-011</t>
  </si>
  <si>
    <t xml:space="preserve">lastname boolean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</si>
  <si>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타입</t>
    </r>
    <r>
      <rPr>
        <sz val="10"/>
        <rFont val="Arial"/>
        <family val="0"/>
        <charset val="1"/>
      </rPr>
      <t xml:space="preserve">] lastname boolean</t>
    </r>
  </si>
  <si>
    <r>
      <rPr>
        <sz val="10"/>
        <rFont val="Noto Sans CJK SC"/>
        <family val="2"/>
      </rPr>
      <t xml:space="preserve">문자열 필드 </t>
    </r>
    <r>
      <rPr>
        <sz val="10"/>
        <rFont val="Arial"/>
        <family val="0"/>
        <charset val="1"/>
      </rPr>
      <t xml:space="preserve">lastname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boolean</t>
    </r>
    <r>
      <rPr>
        <sz val="10"/>
        <rFont val="Noto Sans CJK SC"/>
        <family val="2"/>
      </rPr>
      <t xml:space="preserve">을 보내면 수정이 거절되는지 확인</t>
    </r>
  </si>
  <si>
    <t xml:space="preserve">{
  "lastname": true
}</t>
  </si>
  <si>
    <r>
      <rPr>
        <sz val="10"/>
        <rFont val="Arial"/>
        <family val="0"/>
        <charset val="1"/>
      </rPr>
      <t xml:space="preserve">lastname = true (boolean) </t>
    </r>
    <r>
      <rPr>
        <sz val="10"/>
        <rFont val="Noto Sans CJK SC"/>
        <family val="2"/>
      </rPr>
      <t xml:space="preserve">저장</t>
    </r>
  </si>
  <si>
    <t xml:space="preserve">BKG-PATCH-012</t>
  </si>
  <si>
    <r>
      <rPr>
        <sz val="10"/>
        <rFont val="Arial"/>
        <family val="0"/>
        <charset val="1"/>
      </rPr>
      <t xml:space="preserve">totalprice </t>
    </r>
    <r>
      <rPr>
        <sz val="10"/>
        <rFont val="Noto Sans CJK SC"/>
        <family val="2"/>
      </rPr>
      <t xml:space="preserve">숫자 문자열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</si>
  <si>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타입</t>
    </r>
    <r>
      <rPr>
        <sz val="10"/>
        <rFont val="Arial"/>
        <family val="0"/>
        <charset val="1"/>
      </rPr>
      <t xml:space="preserve">] totalprice </t>
    </r>
    <r>
      <rPr>
        <sz val="10"/>
        <rFont val="Noto Sans CJK SC"/>
        <family val="2"/>
      </rPr>
      <t xml:space="preserve">숫자 문자열</t>
    </r>
  </si>
  <si>
    <r>
      <rPr>
        <sz val="10"/>
        <rFont val="Noto Sans CJK SC"/>
        <family val="2"/>
      </rPr>
      <t xml:space="preserve">숫자 필드 </t>
    </r>
    <r>
      <rPr>
        <sz val="10"/>
        <rFont val="Arial"/>
        <family val="0"/>
        <charset val="1"/>
      </rPr>
      <t xml:space="preserve">totalprice</t>
    </r>
    <r>
      <rPr>
        <sz val="10"/>
        <rFont val="Noto Sans CJK SC"/>
        <family val="2"/>
      </rPr>
      <t xml:space="preserve">에 숫자 문자열을 보내면 수정이 거절되는지 확인</t>
    </r>
  </si>
  <si>
    <t xml:space="preserve">{
  "totalprice": "990"
}</t>
  </si>
  <si>
    <r>
      <rPr>
        <sz val="10"/>
        <rFont val="Arial"/>
        <family val="0"/>
        <charset val="1"/>
      </rPr>
      <t xml:space="preserve">totalprice = 990 (</t>
    </r>
    <r>
      <rPr>
        <sz val="10"/>
        <rFont val="Noto Sans CJK SC"/>
        <family val="2"/>
      </rPr>
      <t xml:space="preserve">숫자로 변환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저장</t>
    </r>
  </si>
  <si>
    <t xml:space="preserve">P-4</t>
  </si>
  <si>
    <t xml:space="preserve">BKG-PATCH-013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</si>
  <si>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타입</t>
    </r>
    <r>
      <rPr>
        <sz val="10"/>
        <rFont val="Arial"/>
        <family val="0"/>
        <charset val="1"/>
      </rPr>
      <t xml:space="preserve">] totalprice </t>
    </r>
    <r>
      <rPr>
        <sz val="10"/>
        <rFont val="Noto Sans CJK SC"/>
        <family val="2"/>
      </rPr>
      <t xml:space="preserve">문자 섞임</t>
    </r>
  </si>
  <si>
    <r>
      <rPr>
        <sz val="10"/>
        <rFont val="Arial"/>
        <family val="0"/>
        <charset val="1"/>
      </rPr>
      <t xml:space="preserve">totalprice</t>
    </r>
    <r>
      <rPr>
        <sz val="10"/>
        <rFont val="Noto Sans CJK SC"/>
        <family val="2"/>
      </rPr>
      <t xml:space="preserve">에 숫자와 문자가 섞인 값을 보내면 수정이 거절되는지 확인</t>
    </r>
  </si>
  <si>
    <r>
      <rPr>
        <sz val="9"/>
        <rFont val="Courier New"/>
        <family val="0"/>
        <charset val="1"/>
      </rPr>
      <t xml:space="preserve">{
  "totalprice": "9</t>
    </r>
    <r>
      <rPr>
        <sz val="9"/>
        <rFont val="Noto Sans CJK SC"/>
        <family val="2"/>
      </rPr>
      <t xml:space="preserve">ㅁ</t>
    </r>
    <r>
      <rPr>
        <sz val="9"/>
        <rFont val="Courier New"/>
        <family val="0"/>
        <charset val="1"/>
      </rPr>
      <t xml:space="preserve">90"
}</t>
    </r>
  </si>
  <si>
    <r>
      <rPr>
        <sz val="10"/>
        <rFont val="Arial"/>
        <family val="0"/>
        <charset val="1"/>
      </rPr>
      <t xml:space="preserve">totalprice = 9 (</t>
    </r>
    <r>
      <rPr>
        <sz val="10"/>
        <rFont val="Noto Sans CJK SC"/>
        <family val="2"/>
      </rPr>
      <t xml:space="preserve">잘려 저장</t>
    </r>
    <r>
      <rPr>
        <sz val="10"/>
        <rFont val="Arial"/>
        <family val="0"/>
        <charset val="1"/>
      </rPr>
      <t xml:space="preserve">)</t>
    </r>
  </si>
  <si>
    <t xml:space="preserve">P-5</t>
  </si>
  <si>
    <t xml:space="preserve">BKG-PATCH-014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</si>
  <si>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타입</t>
    </r>
    <r>
      <rPr>
        <sz val="10"/>
        <rFont val="Arial"/>
        <family val="0"/>
        <charset val="1"/>
      </rPr>
      <t xml:space="preserve">] depositpaid </t>
    </r>
    <r>
      <rPr>
        <sz val="10"/>
        <rFont val="Noto Sans CJK SC"/>
        <family val="2"/>
      </rPr>
      <t xml:space="preserve">문자열 </t>
    </r>
    <r>
      <rPr>
        <sz val="10"/>
        <rFont val="Arial"/>
        <family val="0"/>
        <charset val="1"/>
      </rPr>
      <t xml:space="preserve">true</t>
    </r>
  </si>
  <si>
    <r>
      <rPr>
        <sz val="10"/>
        <rFont val="Arial"/>
        <family val="0"/>
        <charset val="1"/>
      </rPr>
      <t xml:space="preserve">boolean </t>
    </r>
    <r>
      <rPr>
        <sz val="10"/>
        <rFont val="Noto Sans CJK SC"/>
        <family val="2"/>
      </rPr>
      <t xml:space="preserve">필드에 문자열 </t>
    </r>
    <r>
      <rPr>
        <sz val="10"/>
        <rFont val="Arial"/>
        <family val="0"/>
        <charset val="1"/>
      </rPr>
      <t xml:space="preserve">"true"</t>
    </r>
    <r>
      <rPr>
        <sz val="10"/>
        <rFont val="Noto Sans CJK SC"/>
        <family val="2"/>
      </rPr>
      <t xml:space="preserve">를 보내면 수정이 거절되는지 확인</t>
    </r>
  </si>
  <si>
    <t xml:space="preserve">{
  "depositpaid": "true"
}</t>
  </si>
  <si>
    <r>
      <rPr>
        <sz val="10"/>
        <rFont val="Arial"/>
        <family val="0"/>
        <charset val="1"/>
      </rPr>
      <t xml:space="preserve">depositpaid </t>
    </r>
    <r>
      <rPr>
        <sz val="10"/>
        <rFont val="Noto Sans CJK SC"/>
        <family val="2"/>
      </rPr>
      <t xml:space="preserve">원본</t>
    </r>
    <r>
      <rPr>
        <sz val="10"/>
        <rFont val="Arial"/>
        <family val="0"/>
        <charset val="1"/>
      </rPr>
      <t xml:space="preserve">(true) </t>
    </r>
    <r>
      <rPr>
        <sz val="10"/>
        <rFont val="Noto Sans CJK SC"/>
        <family val="2"/>
      </rPr>
      <t xml:space="preserve">유지</t>
    </r>
  </si>
  <si>
    <t xml:space="preserve">P-13</t>
  </si>
  <si>
    <r>
      <rPr>
        <sz val="10"/>
        <rFont val="Noto Sans CJK SC"/>
        <family val="2"/>
      </rPr>
      <t xml:space="preserve">정책 확인 필요</t>
    </r>
    <r>
      <rPr>
        <sz val="10"/>
        <rFont val="Arial"/>
        <family val="0"/>
        <charset val="1"/>
      </rPr>
      <t xml:space="preserve">: 400</t>
    </r>
    <r>
      <rPr>
        <sz val="10"/>
        <rFont val="Noto Sans CJK SC"/>
        <family val="2"/>
      </rPr>
      <t xml:space="preserve">으로 거절할지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무시하고 </t>
    </r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을 줄지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원본이 </t>
    </r>
    <r>
      <rPr>
        <sz val="10"/>
        <rFont val="Arial"/>
        <family val="0"/>
        <charset val="1"/>
      </rPr>
      <t xml:space="preserve">true</t>
    </r>
    <r>
      <rPr>
        <sz val="10"/>
        <rFont val="Noto Sans CJK SC"/>
        <family val="2"/>
      </rPr>
      <t xml:space="preserve">라 무시와 변환이 구분되지 않음</t>
    </r>
  </si>
  <si>
    <t xml:space="preserve">BKG-PATCH-015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</si>
  <si>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타입</t>
    </r>
    <r>
      <rPr>
        <sz val="10"/>
        <rFont val="Arial"/>
        <family val="0"/>
        <charset val="1"/>
      </rPr>
      <t xml:space="preserve">] depositpaid </t>
    </r>
    <r>
      <rPr>
        <sz val="10"/>
        <rFont val="Noto Sans CJK SC"/>
        <family val="2"/>
      </rPr>
      <t xml:space="preserve">문자열 </t>
    </r>
    <r>
      <rPr>
        <sz val="10"/>
        <rFont val="Arial"/>
        <family val="0"/>
        <charset val="1"/>
      </rPr>
      <t xml:space="preserve">false</t>
    </r>
  </si>
  <si>
    <r>
      <rPr>
        <sz val="10"/>
        <rFont val="Arial"/>
        <family val="0"/>
        <charset val="1"/>
      </rPr>
      <t xml:space="preserve">boolean </t>
    </r>
    <r>
      <rPr>
        <sz val="10"/>
        <rFont val="Noto Sans CJK SC"/>
        <family val="2"/>
      </rPr>
      <t xml:space="preserve">필드에 문자열 </t>
    </r>
    <r>
      <rPr>
        <sz val="10"/>
        <rFont val="Arial"/>
        <family val="0"/>
        <charset val="1"/>
      </rPr>
      <t xml:space="preserve">"false"</t>
    </r>
    <r>
      <rPr>
        <sz val="10"/>
        <rFont val="Noto Sans CJK SC"/>
        <family val="2"/>
      </rPr>
      <t xml:space="preserve">를 보내면 수정이 거절되는지 확인</t>
    </r>
  </si>
  <si>
    <t xml:space="preserve">{
  "depositpaid": "false"
}</t>
  </si>
  <si>
    <r>
      <rPr>
        <sz val="10"/>
        <rFont val="Noto Sans CJK SC"/>
        <family val="2"/>
      </rPr>
      <t xml:space="preserve">정책 확인 필요</t>
    </r>
    <r>
      <rPr>
        <sz val="10"/>
        <rFont val="Arial"/>
        <family val="0"/>
        <charset val="1"/>
      </rPr>
      <t xml:space="preserve">: 400</t>
    </r>
    <r>
      <rPr>
        <sz val="10"/>
        <rFont val="Noto Sans CJK SC"/>
        <family val="2"/>
      </rPr>
      <t xml:space="preserve">으로 거절할지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무시하고 </t>
    </r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을 줄지</t>
    </r>
  </si>
  <si>
    <t xml:space="preserve">BKG-PATCH-016</t>
  </si>
  <si>
    <r>
      <rPr>
        <sz val="10"/>
        <rFont val="Arial"/>
        <family val="0"/>
        <charset val="1"/>
      </rPr>
      <t xml:space="preserve">depositpaid </t>
    </r>
    <r>
      <rPr>
        <sz val="10"/>
        <rFont val="Noto Sans CJK SC"/>
        <family val="2"/>
      </rPr>
      <t xml:space="preserve">숫자 </t>
    </r>
    <r>
      <rPr>
        <sz val="10"/>
        <rFont val="Arial"/>
        <family val="0"/>
        <charset val="1"/>
      </rPr>
      <t xml:space="preserve">0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</si>
  <si>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타입</t>
    </r>
    <r>
      <rPr>
        <sz val="10"/>
        <rFont val="Arial"/>
        <family val="0"/>
        <charset val="1"/>
      </rPr>
      <t xml:space="preserve">] depositpaid </t>
    </r>
    <r>
      <rPr>
        <sz val="10"/>
        <rFont val="Noto Sans CJK SC"/>
        <family val="2"/>
      </rPr>
      <t xml:space="preserve">숫자 </t>
    </r>
    <r>
      <rPr>
        <sz val="10"/>
        <rFont val="Arial"/>
        <family val="0"/>
        <charset val="1"/>
      </rPr>
      <t xml:space="preserve">0</t>
    </r>
  </si>
  <si>
    <r>
      <rPr>
        <sz val="10"/>
        <rFont val="Arial"/>
        <family val="0"/>
        <charset val="1"/>
      </rPr>
      <t xml:space="preserve">boolean </t>
    </r>
    <r>
      <rPr>
        <sz val="10"/>
        <rFont val="Noto Sans CJK SC"/>
        <family val="2"/>
      </rPr>
      <t xml:space="preserve">필드에 숫자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을 보내면 수정이 거절되는지 확인</t>
    </r>
  </si>
  <si>
    <t xml:space="preserve">{
  "depositpaid": 0
}</t>
  </si>
  <si>
    <r>
      <rPr>
        <sz val="10"/>
        <rFont val="Arial"/>
        <family val="0"/>
        <charset val="1"/>
      </rPr>
      <t xml:space="preserve">depositpaid = false (</t>
    </r>
    <r>
      <rPr>
        <sz val="10"/>
        <rFont val="Noto Sans CJK SC"/>
        <family val="2"/>
      </rPr>
      <t xml:space="preserve">변환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저장</t>
    </r>
  </si>
  <si>
    <t xml:space="preserve">P-7</t>
  </si>
  <si>
    <r>
      <rPr>
        <sz val="10"/>
        <rFont val="Noto Sans CJK SC"/>
        <family val="2"/>
      </rPr>
      <t xml:space="preserve">문자열은 무시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숫자는 변환되어 타입마다 처리가 다름</t>
    </r>
  </si>
  <si>
    <t xml:space="preserve">BKG-PATCH-017</t>
  </si>
  <si>
    <r>
      <rPr>
        <sz val="10"/>
        <rFont val="Arial"/>
        <family val="0"/>
        <charset val="1"/>
      </rPr>
      <t xml:space="preserve">bookingdates </t>
    </r>
    <r>
      <rPr>
        <sz val="10"/>
        <rFont val="Noto Sans CJK SC"/>
        <family val="2"/>
      </rPr>
      <t xml:space="preserve">문자열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</si>
  <si>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타입</t>
    </r>
    <r>
      <rPr>
        <sz val="10"/>
        <rFont val="Arial"/>
        <family val="0"/>
        <charset val="1"/>
      </rPr>
      <t xml:space="preserve">] bookingdates </t>
    </r>
    <r>
      <rPr>
        <sz val="10"/>
        <rFont val="Noto Sans CJK SC"/>
        <family val="2"/>
      </rPr>
      <t xml:space="preserve">문자열</t>
    </r>
  </si>
  <si>
    <r>
      <rPr>
        <sz val="10"/>
        <rFont val="Noto Sans CJK SC"/>
        <family val="2"/>
      </rPr>
      <t xml:space="preserve">객체 필드 </t>
    </r>
    <r>
      <rPr>
        <sz val="10"/>
        <rFont val="Arial"/>
        <family val="0"/>
        <charset val="1"/>
      </rPr>
      <t xml:space="preserve">bookingdates</t>
    </r>
    <r>
      <rPr>
        <sz val="10"/>
        <rFont val="Noto Sans CJK SC"/>
        <family val="2"/>
      </rPr>
      <t xml:space="preserve">에 문자열을 보내면 수정이 거절되는지 확인</t>
    </r>
  </si>
  <si>
    <t xml:space="preserve">{
  "bookingdates": "2026-10-20"
}</t>
  </si>
  <si>
    <t xml:space="preserve">checkin = 0NaN-aN-aN, checkout = 0NaN-aN-aN</t>
  </si>
  <si>
    <t xml:space="preserve">P-9</t>
  </si>
  <si>
    <t xml:space="preserve">BKG-PATCH-018</t>
  </si>
  <si>
    <r>
      <rPr>
        <sz val="10"/>
        <rFont val="Arial"/>
        <family val="0"/>
        <charset val="1"/>
      </rPr>
      <t xml:space="preserve">additionalneeds </t>
    </r>
    <r>
      <rPr>
        <sz val="10"/>
        <rFont val="Noto Sans CJK SC"/>
        <family val="2"/>
      </rPr>
      <t xml:space="preserve">숫자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</si>
  <si>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타입</t>
    </r>
    <r>
      <rPr>
        <sz val="10"/>
        <rFont val="Arial"/>
        <family val="0"/>
        <charset val="1"/>
      </rPr>
      <t xml:space="preserve">] additionalneeds </t>
    </r>
    <r>
      <rPr>
        <sz val="10"/>
        <rFont val="Noto Sans CJK SC"/>
        <family val="2"/>
      </rPr>
      <t xml:space="preserve">숫자</t>
    </r>
  </si>
  <si>
    <r>
      <rPr>
        <sz val="10"/>
        <rFont val="Noto Sans CJK SC"/>
        <family val="2"/>
      </rPr>
      <t xml:space="preserve">문자열 필드 </t>
    </r>
    <r>
      <rPr>
        <sz val="10"/>
        <rFont val="Arial"/>
        <family val="0"/>
        <charset val="1"/>
      </rPr>
      <t xml:space="preserve">additionalneeds</t>
    </r>
    <r>
      <rPr>
        <sz val="10"/>
        <rFont val="Noto Sans CJK SC"/>
        <family val="2"/>
      </rPr>
      <t xml:space="preserve">에 숫자를 보내면 수정이 거절되는지 확인</t>
    </r>
  </si>
  <si>
    <t xml:space="preserve">{
  "additionalneeds": 100
}</t>
  </si>
  <si>
    <r>
      <rPr>
        <sz val="10"/>
        <rFont val="Arial"/>
        <family val="0"/>
        <charset val="1"/>
      </rPr>
      <t xml:space="preserve">additionalneeds = 100 (</t>
    </r>
    <r>
      <rPr>
        <sz val="10"/>
        <rFont val="Noto Sans CJK SC"/>
        <family val="2"/>
      </rPr>
      <t xml:space="preserve">숫자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저장</t>
    </r>
  </si>
  <si>
    <t xml:space="preserve">BKG-PATCH-019</t>
  </si>
  <si>
    <t xml:space="preserve">totalprice -1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</si>
  <si>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음수</t>
    </r>
    <r>
      <rPr>
        <sz val="10"/>
        <rFont val="Arial"/>
        <family val="0"/>
        <charset val="1"/>
      </rPr>
      <t xml:space="preserve">] totalprice -1 (</t>
    </r>
    <r>
      <rPr>
        <sz val="10"/>
        <rFont val="Noto Sans CJK SC"/>
        <family val="2"/>
      </rPr>
      <t xml:space="preserve">경계값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</si>
  <si>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음수 경계값 </t>
    </r>
    <r>
      <rPr>
        <sz val="10"/>
        <rFont val="Arial"/>
        <family val="0"/>
        <charset val="1"/>
      </rPr>
      <t xml:space="preserve">-1</t>
    </r>
    <r>
      <rPr>
        <sz val="10"/>
        <rFont val="Noto Sans CJK SC"/>
        <family val="2"/>
      </rPr>
      <t xml:space="preserve">로는 수정이 거절되는지 확인</t>
    </r>
  </si>
  <si>
    <t xml:space="preserve">{
  "totalprice": -1
}</t>
  </si>
  <si>
    <r>
      <rPr>
        <sz val="10"/>
        <rFont val="Arial"/>
        <family val="0"/>
        <charset val="1"/>
      </rPr>
      <t xml:space="preserve">totalprice = -1 </t>
    </r>
    <r>
      <rPr>
        <sz val="10"/>
        <rFont val="Noto Sans CJK SC"/>
        <family val="2"/>
      </rPr>
      <t xml:space="preserve">저장</t>
    </r>
  </si>
  <si>
    <t xml:space="preserve">P-6</t>
  </si>
  <si>
    <r>
      <rPr>
        <sz val="10"/>
        <rFont val="Arial"/>
        <family val="0"/>
        <charset val="1"/>
      </rPr>
      <t xml:space="preserve">Bug-3</t>
    </r>
    <r>
      <rPr>
        <sz val="10"/>
        <rFont val="Noto Sans CJK SC"/>
        <family val="2"/>
      </rPr>
      <t xml:space="preserve">과 같은 유형</t>
    </r>
  </si>
  <si>
    <t xml:space="preserve">BKG-PATCH-020</t>
  </si>
  <si>
    <t xml:space="preserve">totalprice -990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</si>
  <si>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음수</t>
    </r>
    <r>
      <rPr>
        <sz val="10"/>
        <rFont val="Arial"/>
        <family val="0"/>
        <charset val="1"/>
      </rPr>
      <t xml:space="preserve">] totalprice -990</t>
    </r>
  </si>
  <si>
    <t xml:space="preserve">음수 가격으로는 수정이 거절되는지 확인</t>
  </si>
  <si>
    <t xml:space="preserve">{
  "totalprice": -990
}</t>
  </si>
  <si>
    <r>
      <rPr>
        <sz val="10"/>
        <rFont val="Arial"/>
        <family val="0"/>
        <charset val="1"/>
      </rPr>
      <t xml:space="preserve">totalprice = -990 </t>
    </r>
    <r>
      <rPr>
        <sz val="10"/>
        <rFont val="Noto Sans CJK SC"/>
        <family val="2"/>
      </rPr>
      <t xml:space="preserve">저장</t>
    </r>
  </si>
  <si>
    <t xml:space="preserve">BKG-PATCH-021</t>
  </si>
  <si>
    <r>
      <rPr>
        <sz val="10"/>
        <rFont val="Noto Sans CJK SC"/>
        <family val="2"/>
      </rPr>
      <t xml:space="preserve">날짜 역전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둘 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</si>
  <si>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날짜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역전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둘 다 보냄</t>
    </r>
  </si>
  <si>
    <t xml:space="preserve">체크아웃이 체크인보다 이전이 되도록 두 날짜를 보내면 거절되는지 확인</t>
  </si>
  <si>
    <t xml:space="preserve">{
  "bookingdates": {
    "checkin": "2026-11-20",
    "checkout": "2026-11-01"
  }
}</t>
  </si>
  <si>
    <r>
      <rPr>
        <sz val="10"/>
        <rFont val="Arial"/>
        <family val="0"/>
        <charset val="1"/>
      </rPr>
      <t xml:space="preserve">checkin = 2026-11-20, checkout = 2026-11-01 (</t>
    </r>
    <r>
      <rPr>
        <sz val="10"/>
        <rFont val="Noto Sans CJK SC"/>
        <family val="2"/>
      </rPr>
      <t xml:space="preserve">역전된 채로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저장</t>
    </r>
  </si>
  <si>
    <t xml:space="preserve">P-8</t>
  </si>
  <si>
    <t xml:space="preserve">BKG-PATCH-022</t>
  </si>
  <si>
    <r>
      <rPr>
        <sz val="10"/>
        <rFont val="Noto Sans CJK SC"/>
        <family val="2"/>
      </rPr>
      <t xml:space="preserve">날짜 역전 </t>
    </r>
    <r>
      <rPr>
        <sz val="10"/>
        <rFont val="Arial"/>
        <family val="0"/>
        <charset val="1"/>
      </rPr>
      <t xml:space="preserve">(checkout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</si>
  <si>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날짜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역전 </t>
    </r>
    <r>
      <rPr>
        <sz val="10"/>
        <rFont val="Arial"/>
        <family val="0"/>
        <charset val="1"/>
      </rPr>
      <t xml:space="preserve">- checkout</t>
    </r>
    <r>
      <rPr>
        <sz val="10"/>
        <rFont val="Noto Sans CJK SC"/>
        <family val="2"/>
      </rPr>
      <t xml:space="preserve">만 보내 기존 </t>
    </r>
    <r>
      <rPr>
        <sz val="10"/>
        <rFont val="Arial"/>
        <family val="0"/>
        <charset val="1"/>
      </rPr>
      <t xml:space="preserve">checkin</t>
    </r>
    <r>
      <rPr>
        <sz val="10"/>
        <rFont val="Noto Sans CJK SC"/>
        <family val="2"/>
      </rPr>
      <t xml:space="preserve">보다 이전</t>
    </r>
  </si>
  <si>
    <r>
      <rPr>
        <sz val="10"/>
        <rFont val="Arial"/>
        <family val="0"/>
        <charset val="1"/>
      </rPr>
      <t xml:space="preserve">checkout</t>
    </r>
    <r>
      <rPr>
        <sz val="10"/>
        <rFont val="Noto Sans CJK SC"/>
        <family val="2"/>
      </rPr>
      <t xml:space="preserve">만 기존 </t>
    </r>
    <r>
      <rPr>
        <sz val="10"/>
        <rFont val="Arial"/>
        <family val="0"/>
        <charset val="1"/>
      </rPr>
      <t xml:space="preserve">checkin(2018-01-01)</t>
    </r>
    <r>
      <rPr>
        <sz val="10"/>
        <rFont val="Noto Sans CJK SC"/>
        <family val="2"/>
      </rPr>
      <t xml:space="preserve">보다 이전으로 보내면 거절되는지 확인</t>
    </r>
  </si>
  <si>
    <t xml:space="preserve">{
  "bookingdates": {
    "checkout": "2017-12-31"
  }
}</t>
  </si>
  <si>
    <t xml:space="preserve">checkin = 0NaN-aN-aN, checkout = 2017-12-31</t>
  </si>
  <si>
    <t xml:space="preserve">P-2</t>
  </si>
  <si>
    <r>
      <rPr>
        <sz val="10"/>
        <rFont val="Noto Sans CJK SC"/>
        <family val="2"/>
      </rPr>
      <t xml:space="preserve">보내지 않은 </t>
    </r>
    <r>
      <rPr>
        <sz val="10"/>
        <rFont val="Arial"/>
        <family val="0"/>
        <charset val="1"/>
      </rPr>
      <t xml:space="preserve">checkin</t>
    </r>
    <r>
      <rPr>
        <sz val="10"/>
        <rFont val="Noto Sans CJK SC"/>
        <family val="2"/>
      </rPr>
      <t xml:space="preserve">이 깨짐</t>
    </r>
  </si>
  <si>
    <t xml:space="preserve">BKG-PATCH-023</t>
  </si>
  <si>
    <r>
      <rPr>
        <sz val="10"/>
        <rFont val="Arial"/>
        <family val="0"/>
        <charset val="1"/>
      </rPr>
      <t xml:space="preserve">checkin </t>
    </r>
    <r>
      <rPr>
        <sz val="10"/>
        <rFont val="Noto Sans CJK SC"/>
        <family val="2"/>
      </rPr>
      <t xml:space="preserve">구분자 없음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</si>
  <si>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날짜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형식 오류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구분자 없음</t>
    </r>
  </si>
  <si>
    <r>
      <rPr>
        <sz val="10"/>
        <rFont val="Noto Sans CJK SC"/>
        <family val="2"/>
      </rPr>
      <t xml:space="preserve">구분자 없는 날짜</t>
    </r>
    <r>
      <rPr>
        <sz val="10"/>
        <rFont val="Arial"/>
        <family val="0"/>
        <charset val="1"/>
      </rPr>
      <t xml:space="preserve">(20180101)</t>
    </r>
    <r>
      <rPr>
        <sz val="10"/>
        <rFont val="Noto Sans CJK SC"/>
        <family val="2"/>
      </rPr>
      <t xml:space="preserve">로는 수정이 거절되는지 확인</t>
    </r>
  </si>
  <si>
    <t xml:space="preserve">{
  "bookingdates": {
    "checkin": "20180101",
    "checkout": "2019-01-01"
  }
}</t>
  </si>
  <si>
    <t xml:space="preserve">checkin = 0NaN-aN-aN, checkout = 2019-01-01</t>
  </si>
  <si>
    <t xml:space="preserve">BKG-PATCH-024</t>
  </si>
  <si>
    <r>
      <rPr>
        <sz val="10"/>
        <rFont val="Arial"/>
        <family val="0"/>
        <charset val="1"/>
      </rPr>
      <t xml:space="preserve">checkin </t>
    </r>
    <r>
      <rPr>
        <sz val="10"/>
        <rFont val="Noto Sans CJK SC"/>
        <family val="2"/>
      </rPr>
      <t xml:space="preserve">실사용 형식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</si>
  <si>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날짜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형식 오류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실사용 형식</t>
    </r>
  </si>
  <si>
    <r>
      <rPr>
        <sz val="10"/>
        <rFont val="Arial"/>
        <family val="0"/>
        <charset val="1"/>
      </rPr>
      <t xml:space="preserve">"26th Oct 2026" </t>
    </r>
    <r>
      <rPr>
        <sz val="10"/>
        <rFont val="Noto Sans CJK SC"/>
        <family val="2"/>
      </rPr>
      <t xml:space="preserve">형식으로는 수정이 거절되는지 확인</t>
    </r>
  </si>
  <si>
    <t xml:space="preserve">{
  "bookingdates": {
    "checkin": "26th Oct 2026",
    "checkout": "2026-11-01"
  }
}</t>
  </si>
  <si>
    <t xml:space="preserve">checkin = 0NaN-aN-aN, checkout = 2026-11-01</t>
  </si>
  <si>
    <t xml:space="preserve">BKG-PATCH-025</t>
  </si>
  <si>
    <r>
      <rPr>
        <sz val="10"/>
        <rFont val="Arial"/>
        <family val="0"/>
        <charset val="1"/>
      </rPr>
      <t xml:space="preserve">checkin 13</t>
    </r>
    <r>
      <rPr>
        <sz val="10"/>
        <rFont val="Noto Sans CJK SC"/>
        <family val="2"/>
      </rPr>
      <t xml:space="preserve">월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</si>
  <si>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날짜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없는 날짜 </t>
    </r>
    <r>
      <rPr>
        <sz val="10"/>
        <rFont val="Arial"/>
        <family val="0"/>
        <charset val="1"/>
      </rPr>
      <t xml:space="preserve">- 13</t>
    </r>
    <r>
      <rPr>
        <sz val="10"/>
        <rFont val="Noto Sans CJK SC"/>
        <family val="2"/>
      </rPr>
      <t xml:space="preserve">월</t>
    </r>
  </si>
  <si>
    <r>
      <rPr>
        <sz val="10"/>
        <rFont val="Noto Sans CJK SC"/>
        <family val="2"/>
      </rPr>
      <t xml:space="preserve">존재하지 않는 월</t>
    </r>
    <r>
      <rPr>
        <sz val="10"/>
        <rFont val="Arial"/>
        <family val="0"/>
        <charset val="1"/>
      </rPr>
      <t xml:space="preserve">(13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로는 수정이 거절되는지 확인</t>
    </r>
  </si>
  <si>
    <t xml:space="preserve">{
  "bookingdates": {
    "checkin": "2026-13-01",
    "checkout": "2026-12-01"
  }
}</t>
  </si>
  <si>
    <t xml:space="preserve">checkin = 0NaN-aN-aN, checkout = 2026-12-01</t>
  </si>
  <si>
    <t xml:space="preserve">BKG-PATCH-026</t>
  </si>
  <si>
    <r>
      <rPr>
        <sz val="10"/>
        <rFont val="Arial"/>
        <family val="0"/>
        <charset val="1"/>
      </rPr>
      <t xml:space="preserve">checkin 2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일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</si>
  <si>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날짜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없는 날짜 </t>
    </r>
    <r>
      <rPr>
        <sz val="10"/>
        <rFont val="Arial"/>
        <family val="0"/>
        <charset val="1"/>
      </rPr>
      <t xml:space="preserve">- 2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</si>
  <si>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존재하지 않는 날짜</t>
    </r>
    <r>
      <rPr>
        <sz val="10"/>
        <rFont val="Arial"/>
        <family val="0"/>
        <charset val="1"/>
      </rPr>
      <t xml:space="preserve">(2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로는 수정이 거절되는지 확인</t>
    </r>
  </si>
  <si>
    <t xml:space="preserve">{
  "bookingdates": {
    "checkin": "2026-02-30",
    "checkout": "2026-03-05"
  }
}</t>
  </si>
  <si>
    <t xml:space="preserve">checkin = 2026-03-02, checkout = 2026-03-05</t>
  </si>
  <si>
    <t xml:space="preserve">P-10</t>
  </si>
  <si>
    <t xml:space="preserve">없는 날짜가 다음 달로 넘어가 저장됨</t>
  </si>
  <si>
    <t xml:space="preserve">BKG-PATCH-027</t>
  </si>
  <si>
    <r>
      <rPr>
        <sz val="10"/>
        <rFont val="Arial"/>
        <family val="0"/>
        <charset val="1"/>
      </rPr>
      <t xml:space="preserve">checkin </t>
    </r>
    <r>
      <rPr>
        <sz val="10"/>
        <rFont val="Noto Sans CJK SC"/>
        <family val="2"/>
      </rPr>
      <t xml:space="preserve">빈 문자열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</si>
  <si>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날짜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빈 문자열</t>
    </r>
  </si>
  <si>
    <t xml:space="preserve">빈 문자열 날짜로는 수정이 거절되는지 확인</t>
  </si>
  <si>
    <t xml:space="preserve">{
  "bookingdates": {
    "checkin": "",
    "checkout": "2019-01-01"
  }
}</t>
  </si>
  <si>
    <t xml:space="preserve">BKG-PATCH-028</t>
  </si>
  <si>
    <r>
      <rPr>
        <sz val="10"/>
        <rFont val="Arial"/>
        <family val="0"/>
        <charset val="1"/>
      </rPr>
      <t xml:space="preserve">checkin</t>
    </r>
    <r>
      <rPr>
        <sz val="10"/>
        <rFont val="Noto Sans CJK SC"/>
        <family val="2"/>
      </rPr>
      <t xml:space="preserve">만 수정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</si>
  <si>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] bookingdates </t>
    </r>
    <r>
      <rPr>
        <sz val="10"/>
        <rFont val="Noto Sans CJK SC"/>
        <family val="2"/>
      </rPr>
      <t xml:space="preserve">중 </t>
    </r>
    <r>
      <rPr>
        <sz val="10"/>
        <rFont val="Arial"/>
        <family val="0"/>
        <charset val="1"/>
      </rPr>
      <t xml:space="preserve">checkin</t>
    </r>
    <r>
      <rPr>
        <sz val="10"/>
        <rFont val="Noto Sans CJK SC"/>
        <family val="2"/>
      </rPr>
      <t xml:space="preserve">만 수정</t>
    </r>
  </si>
  <si>
    <r>
      <rPr>
        <sz val="10"/>
        <rFont val="Arial"/>
        <family val="0"/>
        <charset val="1"/>
      </rPr>
      <t xml:space="preserve">bookingdates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checkin</t>
    </r>
    <r>
      <rPr>
        <sz val="10"/>
        <rFont val="Noto Sans CJK SC"/>
        <family val="2"/>
      </rPr>
      <t xml:space="preserve">만 보내면 </t>
    </r>
    <r>
      <rPr>
        <sz val="10"/>
        <rFont val="Arial"/>
        <family val="0"/>
        <charset val="1"/>
      </rPr>
      <t xml:space="preserve">checkin</t>
    </r>
    <r>
      <rPr>
        <sz val="10"/>
        <rFont val="Noto Sans CJK SC"/>
        <family val="2"/>
      </rPr>
      <t xml:space="preserve">만 바뀌고 </t>
    </r>
    <r>
      <rPr>
        <sz val="10"/>
        <rFont val="Arial"/>
        <family val="0"/>
        <charset val="1"/>
      </rPr>
      <t xml:space="preserve">checkout</t>
    </r>
    <r>
      <rPr>
        <sz val="10"/>
        <rFont val="Noto Sans CJK SC"/>
        <family val="2"/>
      </rPr>
      <t xml:space="preserve">은 유지되는지 확인</t>
    </r>
  </si>
  <si>
    <t xml:space="preserve">{
  "bookingdates": {
    "checkin": "2018-06-01"
  }
}</t>
  </si>
  <si>
    <r>
      <rPr>
        <sz val="10"/>
        <rFont val="Arial"/>
        <family val="0"/>
        <charset val="1"/>
      </rPr>
      <t xml:space="preserve">checkin = 2018-06-01</t>
    </r>
    <r>
      <rPr>
        <sz val="10"/>
        <rFont val="Noto Sans CJK SC"/>
        <family val="2"/>
      </rPr>
      <t xml:space="preserve">로 변경</t>
    </r>
    <r>
      <rPr>
        <sz val="10"/>
        <rFont val="Arial"/>
        <family val="0"/>
        <charset val="1"/>
      </rPr>
      <t xml:space="preserve">, checkout(2019-01-01) </t>
    </r>
    <r>
      <rPr>
        <sz val="10"/>
        <rFont val="Noto Sans CJK SC"/>
        <family val="2"/>
      </rPr>
      <t xml:space="preserve">등 나머지는 원본 유지</t>
    </r>
  </si>
  <si>
    <t xml:space="preserve">checkin = 2018-06-01, checkout = 0NaN-aN-aN</t>
  </si>
  <si>
    <t xml:space="preserve">P-1</t>
  </si>
  <si>
    <t xml:space="preserve">정상 요청에서 보내지 않은 필드가 깨짐</t>
  </si>
  <si>
    <t xml:space="preserve">BKG-PATCH-029</t>
  </si>
  <si>
    <t xml:space="preserve">요청 형식 검증</t>
  </si>
  <si>
    <r>
      <rPr>
        <sz val="10"/>
        <rFont val="Noto Sans CJK SC"/>
        <family val="2"/>
      </rPr>
      <t xml:space="preserve">빈 </t>
    </r>
    <r>
      <rPr>
        <sz val="10"/>
        <rFont val="Arial"/>
        <family val="0"/>
        <charset val="1"/>
      </rPr>
      <t xml:space="preserve">body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</si>
  <si>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빈 </t>
    </r>
    <r>
      <rPr>
        <sz val="10"/>
        <rFont val="Arial"/>
        <family val="0"/>
        <charset val="1"/>
      </rPr>
      <t xml:space="preserve">body</t>
    </r>
  </si>
  <si>
    <r>
      <rPr>
        <sz val="10"/>
        <rFont val="Noto Sans CJK SC"/>
        <family val="2"/>
      </rPr>
      <t xml:space="preserve">수정할 필드가 없는 빈 </t>
    </r>
    <r>
      <rPr>
        <sz val="10"/>
        <rFont val="Arial"/>
        <family val="0"/>
        <charset val="1"/>
      </rPr>
      <t xml:space="preserve">body</t>
    </r>
    <r>
      <rPr>
        <sz val="10"/>
        <rFont val="Noto Sans CJK SC"/>
        <family val="2"/>
      </rPr>
      <t xml:space="preserve">는 거절되는지 확인</t>
    </r>
  </si>
  <si>
    <t xml:space="preserve">{}</t>
  </si>
  <si>
    <t xml:space="preserve">원본 유지</t>
  </si>
  <si>
    <t xml:space="preserve">P-14</t>
  </si>
  <si>
    <t xml:space="preserve">BKG-PATCH-030</t>
  </si>
  <si>
    <t xml:space="preserve">firstname null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</si>
  <si>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] null </t>
    </r>
    <r>
      <rPr>
        <sz val="10"/>
        <rFont val="Noto Sans CJK SC"/>
        <family val="2"/>
      </rPr>
      <t xml:space="preserve">값</t>
    </r>
  </si>
  <si>
    <r>
      <rPr>
        <sz val="10"/>
        <rFont val="Arial"/>
        <family val="0"/>
        <charset val="1"/>
      </rPr>
      <t xml:space="preserve">firstname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null</t>
    </r>
    <r>
      <rPr>
        <sz val="10"/>
        <rFont val="Noto Sans CJK SC"/>
        <family val="2"/>
      </rPr>
      <t xml:space="preserve">을 보내면 수정이 거절되는지 확인</t>
    </r>
  </si>
  <si>
    <t xml:space="preserve">{
  "firstname": null
}</t>
  </si>
  <si>
    <r>
      <rPr>
        <sz val="10"/>
        <rFont val="Arial"/>
        <family val="0"/>
        <charset val="1"/>
      </rPr>
      <t xml:space="preserve">firstname = null </t>
    </r>
    <r>
      <rPr>
        <sz val="10"/>
        <rFont val="Noto Sans CJK SC"/>
        <family val="2"/>
      </rPr>
      <t xml:space="preserve">저장</t>
    </r>
  </si>
  <si>
    <t xml:space="preserve">P-11</t>
  </si>
  <si>
    <t xml:space="preserve">BKG-PATCH-031</t>
  </si>
  <si>
    <r>
      <rPr>
        <sz val="10"/>
        <rFont val="Arial"/>
        <family val="0"/>
        <charset val="1"/>
      </rPr>
      <t xml:space="preserve">firstname </t>
    </r>
    <r>
      <rPr>
        <sz val="10"/>
        <rFont val="Noto Sans CJK SC"/>
        <family val="2"/>
      </rPr>
      <t xml:space="preserve">빈 문자열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</si>
  <si>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빈 문자열 이름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</si>
  <si>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firstname</t>
    </r>
    <r>
      <rPr>
        <sz val="10"/>
        <rFont val="Noto Sans CJK SC"/>
        <family val="2"/>
      </rPr>
      <t xml:space="preserve">에 빈 문자열을 보내면 수정이 거절되는지 확인</t>
    </r>
  </si>
  <si>
    <t xml:space="preserve">{
  "firstname": ""
}</t>
  </si>
  <si>
    <r>
      <rPr>
        <sz val="10"/>
        <rFont val="Arial"/>
        <family val="0"/>
        <charset val="1"/>
      </rPr>
      <t xml:space="preserve">firstname = "" (</t>
    </r>
    <r>
      <rPr>
        <sz val="10"/>
        <rFont val="Noto Sans CJK SC"/>
        <family val="2"/>
      </rPr>
      <t xml:space="preserve">빈 문자열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저장</t>
    </r>
  </si>
  <si>
    <t xml:space="preserve">P-12</t>
  </si>
  <si>
    <r>
      <rPr>
        <sz val="10"/>
        <rFont val="Noto Sans CJK SC"/>
        <family val="2"/>
      </rPr>
      <t xml:space="preserve">정책 확인 필요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빈 이름 허용 여부</t>
    </r>
  </si>
  <si>
    <t xml:space="preserve">BKG-PATCH-032</t>
  </si>
  <si>
    <t xml:space="preserve">필드명 대문자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</si>
  <si>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필드명 대문자만</t>
    </r>
  </si>
  <si>
    <r>
      <rPr>
        <sz val="10"/>
        <rFont val="Noto Sans CJK SC"/>
        <family val="2"/>
      </rPr>
      <t xml:space="preserve">명세에 없는 대소문자 필드명</t>
    </r>
    <r>
      <rPr>
        <sz val="10"/>
        <rFont val="Arial"/>
        <family val="0"/>
        <charset val="1"/>
      </rPr>
      <t xml:space="preserve">(Firstname, TotalPrice)</t>
    </r>
    <r>
      <rPr>
        <sz val="10"/>
        <rFont val="Noto Sans CJK SC"/>
        <family val="2"/>
      </rPr>
      <t xml:space="preserve">은 거절되는지 확인</t>
    </r>
  </si>
  <si>
    <t xml:space="preserve">{
  "Firstname": "Kim",
  "TotalPrice": 990
}</t>
  </si>
  <si>
    <t xml:space="preserve">BKG-PATCH-033</t>
  </si>
  <si>
    <t xml:space="preserve">정의되지 않은 필드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</si>
  <si>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정의되지 않은 필드만</t>
    </r>
  </si>
  <si>
    <r>
      <rPr>
        <sz val="10"/>
        <rFont val="Noto Sans CJK SC"/>
        <family val="2"/>
      </rPr>
      <t xml:space="preserve">명세에 없는 필드</t>
    </r>
    <r>
      <rPr>
        <sz val="10"/>
        <rFont val="Arial"/>
        <family val="0"/>
        <charset val="1"/>
      </rPr>
      <t xml:space="preserve">(discount)</t>
    </r>
    <r>
      <rPr>
        <sz val="10"/>
        <rFont val="Noto Sans CJK SC"/>
        <family val="2"/>
      </rPr>
      <t xml:space="preserve">만 보내면 거절되는지 확인</t>
    </r>
  </si>
  <si>
    <t xml:space="preserve">{
  "discount": 50
}</t>
  </si>
  <si>
    <t xml:space="preserve">API</t>
  </si>
  <si>
    <t xml:space="preserve">관련 케이스</t>
  </si>
  <si>
    <t xml:space="preserve">상태</t>
  </si>
  <si>
    <t xml:space="preserve">POST /booking</t>
  </si>
  <si>
    <t xml:space="preserve">음수 가격이 그대로 저장됨</t>
  </si>
  <si>
    <t xml:space="preserve">Open</t>
  </si>
  <si>
    <r>
      <rPr>
        <sz val="10"/>
        <rFont val="Noto Sans CJK SC"/>
        <family val="2"/>
      </rPr>
      <t xml:space="preserve">필수값 </t>
    </r>
    <r>
      <rPr>
        <sz val="10"/>
        <rFont val="Arial"/>
        <family val="0"/>
        <charset val="1"/>
      </rPr>
      <t xml:space="preserve">firstname </t>
    </r>
    <r>
      <rPr>
        <sz val="10"/>
        <rFont val="Noto Sans CJK SC"/>
        <family val="2"/>
      </rPr>
      <t xml:space="preserve">누락 시 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이 아니라 </t>
    </r>
    <r>
      <rPr>
        <sz val="10"/>
        <rFont val="Arial"/>
        <family val="0"/>
        <charset val="1"/>
      </rPr>
      <t xml:space="preserve">500 </t>
    </r>
    <r>
      <rPr>
        <sz val="10"/>
        <rFont val="Noto Sans CJK SC"/>
        <family val="2"/>
      </rPr>
      <t xml:space="preserve">반환</t>
    </r>
  </si>
  <si>
    <t xml:space="preserve">체크아웃이 체크인보다 이전이어도 그대로 저장됨</t>
  </si>
  <si>
    <r>
      <rPr>
        <sz val="10"/>
        <rFont val="Noto Sans CJK SC"/>
        <family val="2"/>
      </rPr>
      <t xml:space="preserve">날짜가 아닌 체크인 값이 </t>
    </r>
    <r>
      <rPr>
        <sz val="10"/>
        <rFont val="Arial"/>
        <family val="0"/>
        <charset val="1"/>
      </rPr>
      <t xml:space="preserve">0NaN-aN-aN</t>
    </r>
    <r>
      <rPr>
        <sz val="10"/>
        <rFont val="Noto Sans CJK SC"/>
        <family val="2"/>
      </rPr>
      <t xml:space="preserve">으로 저장됨</t>
    </r>
  </si>
  <si>
    <t xml:space="preserve">숫자와 문자가 섞인 가격을 거절하지 않음</t>
  </si>
  <si>
    <r>
      <rPr>
        <sz val="10"/>
        <rFont val="Arial"/>
        <family val="0"/>
        <charset val="1"/>
      </rPr>
      <t xml:space="preserve">depositpaid </t>
    </r>
    <r>
      <rPr>
        <sz val="10"/>
        <rFont val="Noto Sans CJK SC"/>
        <family val="2"/>
      </rPr>
      <t xml:space="preserve">문자열 </t>
    </r>
    <r>
      <rPr>
        <sz val="10"/>
        <rFont val="Arial"/>
        <family val="0"/>
        <charset val="1"/>
      </rPr>
      <t xml:space="preserve">"true"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boolean true</t>
    </r>
    <r>
      <rPr>
        <sz val="10"/>
        <rFont val="Noto Sans CJK SC"/>
        <family val="2"/>
      </rPr>
      <t xml:space="preserve">로 변환해 저장</t>
    </r>
  </si>
  <si>
    <r>
      <rPr>
        <sz val="10"/>
        <rFont val="Arial"/>
        <family val="0"/>
        <charset val="1"/>
      </rPr>
      <t xml:space="preserve">depositpaid </t>
    </r>
    <r>
      <rPr>
        <sz val="10"/>
        <rFont val="Noto Sans CJK SC"/>
        <family val="2"/>
      </rPr>
      <t xml:space="preserve">문자열 </t>
    </r>
    <r>
      <rPr>
        <sz val="10"/>
        <rFont val="Arial"/>
        <family val="0"/>
        <charset val="1"/>
      </rPr>
      <t xml:space="preserve">"false"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true</t>
    </r>
    <r>
      <rPr>
        <sz val="10"/>
        <rFont val="Noto Sans CJK SC"/>
        <family val="2"/>
      </rPr>
      <t xml:space="preserve">로 저장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의미 반전</t>
    </r>
    <r>
      <rPr>
        <sz val="10"/>
        <rFont val="Arial"/>
        <family val="0"/>
        <charset val="1"/>
      </rPr>
      <t xml:space="preserve">)</t>
    </r>
  </si>
  <si>
    <t xml:space="preserve">PATCH /booking/{id}</t>
  </si>
  <si>
    <r>
      <rPr>
        <sz val="10"/>
        <rFont val="Arial"/>
        <family val="0"/>
        <charset val="1"/>
      </rPr>
      <t xml:space="preserve">bookingdates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checkin</t>
    </r>
    <r>
      <rPr>
        <sz val="10"/>
        <rFont val="Noto Sans CJK SC"/>
        <family val="2"/>
      </rPr>
      <t xml:space="preserve">만 보내면 </t>
    </r>
    <r>
      <rPr>
        <sz val="10"/>
        <rFont val="Arial"/>
        <family val="0"/>
        <charset val="1"/>
      </rPr>
      <t xml:space="preserve">checkout</t>
    </r>
    <r>
      <rPr>
        <sz val="10"/>
        <rFont val="Noto Sans CJK SC"/>
        <family val="2"/>
      </rPr>
      <t xml:space="preserve">이 </t>
    </r>
    <r>
      <rPr>
        <sz val="10"/>
        <rFont val="Arial"/>
        <family val="0"/>
        <charset val="1"/>
      </rPr>
      <t xml:space="preserve">0NaN-aN-aN</t>
    </r>
    <r>
      <rPr>
        <sz val="10"/>
        <rFont val="Noto Sans CJK SC"/>
        <family val="2"/>
      </rPr>
      <t xml:space="preserve">으로 바뀜</t>
    </r>
  </si>
  <si>
    <r>
      <rPr>
        <sz val="10"/>
        <rFont val="Arial"/>
        <family val="0"/>
        <charset val="1"/>
      </rPr>
      <t xml:space="preserve">bookingdates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checkout</t>
    </r>
    <r>
      <rPr>
        <sz val="10"/>
        <rFont val="Noto Sans CJK SC"/>
        <family val="2"/>
      </rPr>
      <t xml:space="preserve">만 보내면 </t>
    </r>
    <r>
      <rPr>
        <sz val="10"/>
        <rFont val="Arial"/>
        <family val="0"/>
        <charset val="1"/>
      </rPr>
      <t xml:space="preserve">checkin</t>
    </r>
    <r>
      <rPr>
        <sz val="10"/>
        <rFont val="Noto Sans CJK SC"/>
        <family val="2"/>
      </rPr>
      <t xml:space="preserve">이 </t>
    </r>
    <r>
      <rPr>
        <sz val="10"/>
        <rFont val="Arial"/>
        <family val="0"/>
        <charset val="1"/>
      </rPr>
      <t xml:space="preserve">0NaN-aN-aN</t>
    </r>
    <r>
      <rPr>
        <sz val="10"/>
        <rFont val="Noto Sans CJK SC"/>
        <family val="2"/>
      </rPr>
      <t xml:space="preserve">으로 바뀜</t>
    </r>
  </si>
  <si>
    <r>
      <rPr>
        <sz val="10"/>
        <rFont val="Noto Sans CJK SC"/>
        <family val="2"/>
      </rPr>
      <t xml:space="preserve">문자열 필드에 숫자</t>
    </r>
    <r>
      <rPr>
        <sz val="10"/>
        <rFont val="Arial"/>
        <family val="0"/>
        <charset val="1"/>
      </rPr>
      <t xml:space="preserve">·boolean</t>
    </r>
    <r>
      <rPr>
        <sz val="10"/>
        <rFont val="Noto Sans CJK SC"/>
        <family val="2"/>
      </rPr>
      <t xml:space="preserve">이 그대로 저장됨</t>
    </r>
  </si>
  <si>
    <t xml:space="preserve">BKG-PATCH-010, 011, 018</t>
  </si>
  <si>
    <r>
      <rPr>
        <sz val="10"/>
        <rFont val="Arial"/>
        <family val="0"/>
        <charset val="1"/>
      </rPr>
      <t xml:space="preserve">totalprice </t>
    </r>
    <r>
      <rPr>
        <sz val="10"/>
        <rFont val="Noto Sans CJK SC"/>
        <family val="2"/>
      </rPr>
      <t xml:space="preserve">숫자 문자열을 숫자로 변환해 저장</t>
    </r>
  </si>
  <si>
    <r>
      <rPr>
        <sz val="10"/>
        <rFont val="Noto Sans CJK SC"/>
        <family val="2"/>
      </rPr>
      <t xml:space="preserve">숫자와 문자가 섞인 </t>
    </r>
    <r>
      <rPr>
        <sz val="10"/>
        <rFont val="Arial"/>
        <family val="0"/>
        <charset val="1"/>
      </rPr>
      <t xml:space="preserve">totalprice</t>
    </r>
    <r>
      <rPr>
        <sz val="10"/>
        <rFont val="Noto Sans CJK SC"/>
        <family val="2"/>
      </rPr>
      <t xml:space="preserve">가 잘려 저장됨</t>
    </r>
  </si>
  <si>
    <r>
      <rPr>
        <sz val="10"/>
        <rFont val="Noto Sans CJK SC"/>
        <family val="2"/>
      </rPr>
      <t xml:space="preserve">음수 </t>
    </r>
    <r>
      <rPr>
        <sz val="10"/>
        <rFont val="Arial"/>
        <family val="0"/>
        <charset val="1"/>
      </rPr>
      <t xml:space="preserve">totalprice</t>
    </r>
    <r>
      <rPr>
        <sz val="10"/>
        <rFont val="Noto Sans CJK SC"/>
        <family val="2"/>
      </rPr>
      <t xml:space="preserve">가 저장됨</t>
    </r>
  </si>
  <si>
    <t xml:space="preserve">BKG-PATCH-019, 020</t>
  </si>
  <si>
    <r>
      <rPr>
        <sz val="10"/>
        <rFont val="Arial"/>
        <family val="0"/>
        <charset val="1"/>
      </rPr>
      <t xml:space="preserve">depositpaid </t>
    </r>
    <r>
      <rPr>
        <sz val="10"/>
        <rFont val="Noto Sans CJK SC"/>
        <family val="2"/>
      </rPr>
      <t xml:space="preserve">숫자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을 </t>
    </r>
    <r>
      <rPr>
        <sz val="10"/>
        <rFont val="Arial"/>
        <family val="0"/>
        <charset val="1"/>
      </rPr>
      <t xml:space="preserve">false</t>
    </r>
    <r>
      <rPr>
        <sz val="10"/>
        <rFont val="Noto Sans CJK SC"/>
        <family val="2"/>
      </rPr>
      <t xml:space="preserve">로 변환해 저장</t>
    </r>
  </si>
  <si>
    <r>
      <rPr>
        <sz val="10"/>
        <rFont val="Noto Sans CJK SC"/>
        <family val="2"/>
      </rPr>
      <t xml:space="preserve">체크인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아웃 역전 날짜가 저장됨</t>
    </r>
  </si>
  <si>
    <r>
      <rPr>
        <sz val="10"/>
        <rFont val="Noto Sans CJK SC"/>
        <family val="2"/>
      </rPr>
      <t xml:space="preserve">잘못된 날짜가 </t>
    </r>
    <r>
      <rPr>
        <sz val="10"/>
        <rFont val="Arial"/>
        <family val="0"/>
        <charset val="1"/>
      </rPr>
      <t xml:space="preserve">0NaN-aN-aN</t>
    </r>
    <r>
      <rPr>
        <sz val="10"/>
        <rFont val="Noto Sans CJK SC"/>
        <family val="2"/>
      </rPr>
      <t xml:space="preserve">으로 저장됨</t>
    </r>
  </si>
  <si>
    <t xml:space="preserve">BKG-PATCH-017, 023, 024, 025, 027</t>
  </si>
  <si>
    <t xml:space="preserve">존재하지 않는 날짜가 다음 달로 넘어가 저장됨</t>
  </si>
  <si>
    <r>
      <rPr>
        <sz val="10"/>
        <rFont val="Arial"/>
        <family val="0"/>
        <charset val="1"/>
      </rPr>
      <t xml:space="preserve">firstname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null</t>
    </r>
    <r>
      <rPr>
        <sz val="10"/>
        <rFont val="Noto Sans CJK SC"/>
        <family val="2"/>
      </rPr>
      <t xml:space="preserve">이 저장됨</t>
    </r>
  </si>
  <si>
    <r>
      <rPr>
        <sz val="10"/>
        <rFont val="Arial"/>
        <family val="0"/>
        <charset val="1"/>
      </rPr>
      <t xml:space="preserve">firstname</t>
    </r>
    <r>
      <rPr>
        <sz val="10"/>
        <rFont val="Noto Sans CJK SC"/>
        <family val="2"/>
      </rPr>
      <t xml:space="preserve">에 빈 문자열이 저장됨</t>
    </r>
  </si>
  <si>
    <r>
      <rPr>
        <sz val="10"/>
        <rFont val="Arial"/>
        <family val="0"/>
        <charset val="1"/>
      </rPr>
      <t xml:space="preserve">depositpaid </t>
    </r>
    <r>
      <rPr>
        <sz val="10"/>
        <rFont val="Noto Sans CJK SC"/>
        <family val="2"/>
      </rPr>
      <t xml:space="preserve">문자열을 무시하고 </t>
    </r>
    <r>
      <rPr>
        <sz val="10"/>
        <rFont val="Arial"/>
        <family val="0"/>
        <charset val="1"/>
      </rPr>
      <t xml:space="preserve">200 </t>
    </r>
    <r>
      <rPr>
        <sz val="10"/>
        <rFont val="Noto Sans CJK SC"/>
        <family val="2"/>
      </rPr>
      <t xml:space="preserve">반환</t>
    </r>
  </si>
  <si>
    <t xml:space="preserve">BKG-PATCH-014, 015</t>
  </si>
  <si>
    <r>
      <rPr>
        <sz val="10"/>
        <rFont val="Noto Sans CJK SC"/>
        <family val="2"/>
      </rPr>
      <t xml:space="preserve">수정할 필드가 없는 요청도 </t>
    </r>
    <r>
      <rPr>
        <sz val="10"/>
        <rFont val="Arial"/>
        <family val="0"/>
        <charset val="1"/>
      </rPr>
      <t xml:space="preserve">200 </t>
    </r>
    <r>
      <rPr>
        <sz val="10"/>
        <rFont val="Noto Sans CJK SC"/>
        <family val="2"/>
      </rPr>
      <t xml:space="preserve">반환</t>
    </r>
  </si>
  <si>
    <t xml:space="preserve">BKG-PATCH-029, 032, 033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</si>
</sst>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sz val="9"/>
      <name val="Courier New"/>
      <family val="0"/>
      <charset val="1"/>
    </font>
    <font>
      <sz val="9"/>
      <name val="Noto Sans CJK SC"/>
      <family val="2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2F2F2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F2F2F2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1E7B34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name val="Arial"/>
        <charset val="1"/>
        <family val="0"/>
        <b val="1"/>
        <color rgb="FF1E7B34"/>
      </font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10" min="3" style="0" width="13"/>
  </cols>
  <sheetData>
    <row r="1" customFormat="false" ht="20.1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/>
      <c r="D4" s="4"/>
      <c r="E4" s="4"/>
      <c r="F4" s="4"/>
      <c r="G4" s="4"/>
      <c r="H4" s="4"/>
      <c r="I4" s="4"/>
      <c r="J4" s="4"/>
    </row>
    <row r="5" customFormat="false" ht="15" hidden="false" customHeight="false" outlineLevel="0" collapsed="false">
      <c r="A5" s="5" t="s">
        <v>4</v>
      </c>
      <c r="B5" s="6" t="s">
        <v>5</v>
      </c>
      <c r="C5" s="6"/>
      <c r="D5" s="6"/>
      <c r="E5" s="6"/>
      <c r="F5" s="6"/>
      <c r="G5" s="6"/>
      <c r="H5" s="6"/>
      <c r="I5" s="6"/>
      <c r="J5" s="6"/>
    </row>
    <row r="6" customFormat="false" ht="15" hidden="false" customHeight="false" outlineLevel="0" collapsed="false">
      <c r="A6" s="5" t="s">
        <v>6</v>
      </c>
      <c r="B6" s="6" t="s">
        <v>7</v>
      </c>
      <c r="C6" s="6"/>
      <c r="D6" s="6"/>
      <c r="E6" s="6"/>
      <c r="F6" s="6"/>
      <c r="G6" s="6"/>
      <c r="H6" s="6"/>
      <c r="I6" s="6"/>
      <c r="J6" s="6"/>
    </row>
    <row r="7" customFormat="false" ht="15" hidden="false" customHeight="false" outlineLevel="0" collapsed="false">
      <c r="A7" s="5" t="s">
        <v>8</v>
      </c>
      <c r="B7" s="6" t="s">
        <v>9</v>
      </c>
      <c r="C7" s="6"/>
      <c r="D7" s="6"/>
      <c r="E7" s="6"/>
      <c r="F7" s="6"/>
      <c r="G7" s="6"/>
      <c r="H7" s="6"/>
      <c r="I7" s="6"/>
      <c r="J7" s="6"/>
    </row>
    <row r="8" customFormat="false" ht="15" hidden="false" customHeight="false" outlineLevel="0" collapsed="false">
      <c r="A8" s="5" t="s">
        <v>10</v>
      </c>
      <c r="B8" s="6" t="s">
        <v>11</v>
      </c>
      <c r="C8" s="6"/>
      <c r="D8" s="6"/>
      <c r="E8" s="6"/>
      <c r="F8" s="6"/>
      <c r="G8" s="6"/>
      <c r="H8" s="6"/>
      <c r="I8" s="6"/>
      <c r="J8" s="6"/>
    </row>
    <row r="9" customFormat="false" ht="15" hidden="false" customHeight="false" outlineLevel="0" collapsed="false">
      <c r="A9" s="5" t="s">
        <v>12</v>
      </c>
      <c r="B9" s="6" t="s">
        <v>13</v>
      </c>
      <c r="C9" s="6"/>
      <c r="D9" s="6"/>
      <c r="E9" s="6"/>
      <c r="F9" s="6"/>
      <c r="G9" s="6"/>
      <c r="H9" s="6"/>
      <c r="I9" s="6"/>
      <c r="J9" s="6"/>
    </row>
    <row r="10" customFormat="false" ht="15" hidden="false" customHeight="false" outlineLevel="0" collapsed="false">
      <c r="A10" s="5" t="s">
        <v>14</v>
      </c>
      <c r="B10" s="6" t="s">
        <v>15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A11" s="5" t="s">
        <v>16</v>
      </c>
      <c r="B11" s="6" t="s">
        <v>17</v>
      </c>
      <c r="C11" s="6"/>
      <c r="D11" s="6"/>
      <c r="E11" s="6"/>
      <c r="F11" s="6"/>
      <c r="G11" s="6"/>
      <c r="H11" s="6"/>
      <c r="I11" s="6"/>
      <c r="J11" s="6"/>
    </row>
    <row r="12" customFormat="false" ht="15" hidden="false" customHeight="false" outlineLevel="0" collapsed="false">
      <c r="A12" s="5" t="s">
        <v>18</v>
      </c>
      <c r="B12" s="6" t="s">
        <v>19</v>
      </c>
      <c r="C12" s="6"/>
      <c r="D12" s="6"/>
      <c r="E12" s="6"/>
      <c r="F12" s="6"/>
      <c r="G12" s="6"/>
      <c r="H12" s="6"/>
      <c r="I12" s="6"/>
      <c r="J12" s="6"/>
    </row>
    <row r="13" customFormat="false" ht="15" hidden="false" customHeight="false" outlineLevel="0" collapsed="false">
      <c r="A13" s="7" t="s">
        <v>20</v>
      </c>
      <c r="B13" s="6" t="s">
        <v>21</v>
      </c>
      <c r="C13" s="6"/>
      <c r="D13" s="6"/>
      <c r="E13" s="6"/>
      <c r="F13" s="6"/>
      <c r="G13" s="6"/>
      <c r="H13" s="6"/>
      <c r="I13" s="6"/>
      <c r="J13" s="6"/>
    </row>
    <row r="15" customFormat="false" ht="15" hidden="false" customHeight="false" outlineLevel="0" collapsed="false">
      <c r="A15" s="2" t="s">
        <v>22</v>
      </c>
    </row>
    <row r="16" customFormat="false" ht="15" hidden="false" customHeight="false" outlineLevel="0" collapsed="false">
      <c r="A16" s="8" t="s">
        <v>23</v>
      </c>
      <c r="B16" s="9" t="s">
        <v>24</v>
      </c>
      <c r="C16" s="9" t="s">
        <v>25</v>
      </c>
      <c r="D16" s="8" t="s">
        <v>26</v>
      </c>
      <c r="E16" s="8" t="s">
        <v>27</v>
      </c>
      <c r="F16" s="8" t="s">
        <v>28</v>
      </c>
      <c r="G16" s="8" t="s">
        <v>29</v>
      </c>
      <c r="H16" s="8" t="s">
        <v>30</v>
      </c>
      <c r="I16" s="9" t="s">
        <v>31</v>
      </c>
      <c r="J16" s="9" t="s">
        <v>32</v>
      </c>
    </row>
    <row r="17" customFormat="false" ht="15" hidden="false" customHeight="false" outlineLevel="0" collapsed="false">
      <c r="A17" s="10" t="n">
        <v>1</v>
      </c>
      <c r="B17" s="10" t="s">
        <v>33</v>
      </c>
      <c r="C17" s="10" t="n">
        <f aca="false">COUNTA(예약생성_데이터!$A$2:$A$10)</f>
        <v>9</v>
      </c>
      <c r="D17" s="10" t="n">
        <f aca="false">COUNTIF(예약생성_데이터!$M$2:$M$10,"PASS")</f>
        <v>2</v>
      </c>
      <c r="E17" s="10" t="n">
        <f aca="false">COUNTIF(예약생성_데이터!$M$2:$M$10,"FAIL")</f>
        <v>7</v>
      </c>
      <c r="F17" s="10" t="n">
        <f aca="false">COUNTIF(예약생성_데이터!$M$2:$M$10,"BLOCK")</f>
        <v>0</v>
      </c>
      <c r="G17" s="10" t="n">
        <f aca="false">COUNTIF(예약생성_데이터!$M$2:$M$10,"Not Tested")+COUNTBLANK(예약생성_데이터!$M$2:$M$10)</f>
        <v>0</v>
      </c>
      <c r="H17" s="10" t="n">
        <f aca="false">COUNTIF(예약생성_데이터!$M$2:$M$10,"N/A")</f>
        <v>0</v>
      </c>
      <c r="I17" s="11" t="n">
        <f aca="false">IF(C17=0,0,(C17-G17)/C17)</f>
        <v>1</v>
      </c>
      <c r="J17" s="11" t="n">
        <f aca="false">IF((C17-G17-H17)=0,0,D17/(C17-G17-H17))</f>
        <v>0.222222222222222</v>
      </c>
    </row>
    <row r="18" customFormat="false" ht="15" hidden="false" customHeight="false" outlineLevel="0" collapsed="false">
      <c r="A18" s="10" t="n">
        <v>2</v>
      </c>
      <c r="B18" s="10" t="s">
        <v>34</v>
      </c>
      <c r="C18" s="10" t="n">
        <f aca="false">COUNTA(부분수정_데이터!$A$2:$A$34)</f>
        <v>33</v>
      </c>
      <c r="D18" s="10" t="n">
        <f aca="false">COUNTIF(부분수정_데이터!$M$2:$M$34,"PASS")</f>
        <v>9</v>
      </c>
      <c r="E18" s="10" t="n">
        <f aca="false">COUNTIF(부분수정_데이터!$M$2:$M$34,"FAIL")</f>
        <v>24</v>
      </c>
      <c r="F18" s="10" t="n">
        <f aca="false">COUNTIF(부분수정_데이터!$M$2:$M$34,"BLOCK")</f>
        <v>0</v>
      </c>
      <c r="G18" s="10" t="n">
        <f aca="false">COUNTIF(부분수정_데이터!$M$2:$M$34,"Not Tested")+COUNTBLANK(부분수정_데이터!$M$2:$M$34)</f>
        <v>0</v>
      </c>
      <c r="H18" s="10" t="n">
        <f aca="false">COUNTIF(부분수정_데이터!$M$2:$M$34,"N/A")</f>
        <v>0</v>
      </c>
      <c r="I18" s="11" t="n">
        <f aca="false">IF(C18=0,0,(C18-G18)/C18)</f>
        <v>1</v>
      </c>
      <c r="J18" s="11" t="n">
        <f aca="false">IF((C18-G18-H18)=0,0,D18/(C18-G18-H18))</f>
        <v>0.272727272727273</v>
      </c>
    </row>
    <row r="19" customFormat="false" ht="15" hidden="false" customHeight="false" outlineLevel="0" collapsed="false">
      <c r="A19" s="12"/>
      <c r="B19" s="13" t="s">
        <v>35</v>
      </c>
      <c r="C19" s="12" t="n">
        <f aca="false">SUM(C17:C18)</f>
        <v>42</v>
      </c>
      <c r="D19" s="12" t="n">
        <f aca="false">SUM(D17:D18)</f>
        <v>11</v>
      </c>
      <c r="E19" s="12" t="n">
        <f aca="false">SUM(E17:E18)</f>
        <v>31</v>
      </c>
      <c r="F19" s="12" t="n">
        <f aca="false">SUM(F17:F18)</f>
        <v>0</v>
      </c>
      <c r="G19" s="12" t="n">
        <f aca="false">SUM(G17:G18)</f>
        <v>0</v>
      </c>
      <c r="H19" s="12" t="n">
        <f aca="false">SUM(H17:H18)</f>
        <v>0</v>
      </c>
      <c r="I19" s="14" t="n">
        <f aca="false">IF(C19=0,0,(C19-G19)/C19)</f>
        <v>1</v>
      </c>
      <c r="J19" s="14" t="n">
        <f aca="false">IF((C19-G19-H19)=0,0,D19/(C19-G19-H19))</f>
        <v>0.261904761904762</v>
      </c>
    </row>
    <row r="20" customFormat="false" ht="15" hidden="false" customHeight="false" outlineLevel="0" collapsed="false">
      <c r="A20" s="15" t="s">
        <v>36</v>
      </c>
      <c r="B20" s="15"/>
      <c r="C20" s="15"/>
      <c r="D20" s="15"/>
      <c r="E20" s="15"/>
      <c r="F20" s="15"/>
      <c r="G20" s="15"/>
      <c r="H20" s="15"/>
      <c r="I20" s="15"/>
      <c r="J20" s="15"/>
    </row>
    <row r="22" customFormat="false" ht="15" hidden="false" customHeight="false" outlineLevel="0" collapsed="false">
      <c r="A22" s="2" t="s">
        <v>37</v>
      </c>
    </row>
    <row r="23" customFormat="false" ht="26.85" hidden="false" customHeight="false" outlineLevel="0" collapsed="false">
      <c r="A23" s="16" t="s">
        <v>38</v>
      </c>
      <c r="B23" s="16" t="s">
        <v>39</v>
      </c>
      <c r="C23" s="16" t="s">
        <v>40</v>
      </c>
      <c r="D23" s="16" t="s">
        <v>41</v>
      </c>
    </row>
    <row r="24" customFormat="false" ht="15" hidden="false" customHeight="false" outlineLevel="0" collapsed="false">
      <c r="A24" s="17" t="s">
        <v>42</v>
      </c>
      <c r="B24" s="17" t="n">
        <f aca="false">COUNTIF(결함목록!$E$2:$E$22,A24)</f>
        <v>13</v>
      </c>
      <c r="C24" s="17" t="n">
        <f aca="false">COUNTIFS(결함목록!$E$2:$E$22,A24,결함목록!$F$2:$F$22,"Fixed")+COUNTIFS(결함목록!$E$2:$E$22,A24,결함목록!$F$2:$F$22,"Closed")</f>
        <v>0</v>
      </c>
      <c r="D24" s="17" t="n">
        <f aca="false">COUNTIFS(결함목록!$E$2:$E$22,A24,결함목록!$F$2:$F$22,"Open")</f>
        <v>13</v>
      </c>
    </row>
    <row r="25" customFormat="false" ht="15" hidden="false" customHeight="false" outlineLevel="0" collapsed="false">
      <c r="A25" s="17" t="s">
        <v>43</v>
      </c>
      <c r="B25" s="17" t="n">
        <f aca="false">COUNTIF(결함목록!$E$2:$E$22,A25)</f>
        <v>5</v>
      </c>
      <c r="C25" s="17" t="n">
        <f aca="false">COUNTIFS(결함목록!$E$2:$E$22,A25,결함목록!$F$2:$F$22,"Fixed")+COUNTIFS(결함목록!$E$2:$E$22,A25,결함목록!$F$2:$F$22,"Closed")</f>
        <v>0</v>
      </c>
      <c r="D25" s="17" t="n">
        <f aca="false">COUNTIFS(결함목록!$E$2:$E$22,A25,결함목록!$F$2:$F$22,"Open")</f>
        <v>5</v>
      </c>
    </row>
    <row r="26" customFormat="false" ht="15" hidden="false" customHeight="false" outlineLevel="0" collapsed="false">
      <c r="A26" s="17" t="s">
        <v>44</v>
      </c>
      <c r="B26" s="17" t="n">
        <f aca="false">COUNTIF(결함목록!$E$2:$E$22,A26)</f>
        <v>1</v>
      </c>
      <c r="C26" s="17" t="n">
        <f aca="false">COUNTIFS(결함목록!$E$2:$E$22,A26,결함목록!$F$2:$F$22,"Fixed")+COUNTIFS(결함목록!$E$2:$E$22,A26,결함목록!$F$2:$F$22,"Closed")</f>
        <v>0</v>
      </c>
      <c r="D26" s="17" t="n">
        <f aca="false">COUNTIFS(결함목록!$E$2:$E$22,A26,결함목록!$F$2:$F$22,"Open")</f>
        <v>1</v>
      </c>
    </row>
    <row r="27" customFormat="false" ht="15" hidden="false" customHeight="false" outlineLevel="0" collapsed="false">
      <c r="A27" s="17" t="s">
        <v>45</v>
      </c>
      <c r="B27" s="17" t="n">
        <f aca="false">COUNTIF(결함목록!$E$2:$E$22,A27)</f>
        <v>2</v>
      </c>
      <c r="C27" s="17" t="n">
        <f aca="false">COUNTIFS(결함목록!$E$2:$E$22,A27,결함목록!$F$2:$F$22,"Fixed")+COUNTIFS(결함목록!$E$2:$E$22,A27,결함목록!$F$2:$F$22,"Closed")</f>
        <v>0</v>
      </c>
      <c r="D27" s="17" t="n">
        <f aca="false">COUNTIFS(결함목록!$E$2:$E$22,A27,결함목록!$F$2:$F$22,"Open")</f>
        <v>2</v>
      </c>
    </row>
    <row r="28" customFormat="false" ht="15" hidden="false" customHeight="false" outlineLevel="0" collapsed="false">
      <c r="A28" s="13" t="s">
        <v>35</v>
      </c>
      <c r="B28" s="12" t="n">
        <f aca="false">SUM(B24:B27)</f>
        <v>21</v>
      </c>
      <c r="C28" s="12" t="n">
        <f aca="false">SUM(C24:C27)</f>
        <v>0</v>
      </c>
      <c r="D28" s="12" t="n">
        <f aca="false">SUM(D24:D27)</f>
        <v>21</v>
      </c>
    </row>
    <row r="30" customFormat="false" ht="15" hidden="false" customHeight="false" outlineLevel="0" collapsed="false">
      <c r="A30" s="2" t="s">
        <v>46</v>
      </c>
    </row>
    <row r="31" customFormat="false" ht="15" hidden="false" customHeight="false" outlineLevel="0" collapsed="false">
      <c r="A31" s="18" t="n">
        <v>1</v>
      </c>
      <c r="B31" s="6" t="s">
        <v>47</v>
      </c>
      <c r="C31" s="6"/>
      <c r="D31" s="6"/>
      <c r="E31" s="6"/>
      <c r="F31" s="6"/>
      <c r="G31" s="6"/>
      <c r="H31" s="6"/>
      <c r="I31" s="6"/>
      <c r="J31" s="6"/>
    </row>
    <row r="32" customFormat="false" ht="15" hidden="false" customHeight="false" outlineLevel="0" collapsed="false">
      <c r="A32" s="18" t="n">
        <v>2</v>
      </c>
      <c r="B32" s="6" t="s">
        <v>48</v>
      </c>
      <c r="C32" s="6"/>
      <c r="D32" s="6"/>
      <c r="E32" s="6"/>
      <c r="F32" s="6"/>
      <c r="G32" s="6"/>
      <c r="H32" s="6"/>
      <c r="I32" s="6"/>
      <c r="J32" s="6"/>
    </row>
    <row r="33" customFormat="false" ht="15" hidden="false" customHeight="false" outlineLevel="0" collapsed="false">
      <c r="A33" s="18" t="n">
        <v>3</v>
      </c>
      <c r="B33" s="6" t="s">
        <v>49</v>
      </c>
      <c r="C33" s="6"/>
      <c r="D33" s="6"/>
      <c r="E33" s="6"/>
      <c r="F33" s="6"/>
      <c r="G33" s="6"/>
      <c r="H33" s="6"/>
      <c r="I33" s="6"/>
      <c r="J33" s="6"/>
    </row>
    <row r="35" customFormat="false" ht="15" hidden="false" customHeight="false" outlineLevel="0" collapsed="false">
      <c r="A35" s="2" t="s">
        <v>50</v>
      </c>
    </row>
    <row r="36" customFormat="false" ht="15" hidden="false" customHeight="false" outlineLevel="0" collapsed="false">
      <c r="A36" s="19" t="s">
        <v>51</v>
      </c>
      <c r="B36" s="4" t="s">
        <v>52</v>
      </c>
      <c r="C36" s="4"/>
      <c r="D36" s="4"/>
      <c r="E36" s="4"/>
      <c r="F36" s="4"/>
      <c r="G36" s="4"/>
      <c r="H36" s="4"/>
      <c r="I36" s="4"/>
      <c r="J36" s="4"/>
    </row>
    <row r="37" customFormat="false" ht="15" hidden="false" customHeight="false" outlineLevel="0" collapsed="false">
      <c r="A37" s="20" t="s">
        <v>53</v>
      </c>
      <c r="B37" s="6" t="s">
        <v>54</v>
      </c>
      <c r="C37" s="6"/>
      <c r="D37" s="6"/>
      <c r="E37" s="6"/>
      <c r="F37" s="6"/>
      <c r="G37" s="6"/>
      <c r="H37" s="6"/>
      <c r="I37" s="6"/>
      <c r="J37" s="6"/>
    </row>
    <row r="38" customFormat="false" ht="15" hidden="false" customHeight="false" outlineLevel="0" collapsed="false">
      <c r="A38" s="20" t="s">
        <v>55</v>
      </c>
      <c r="B38" s="15" t="s">
        <v>56</v>
      </c>
      <c r="C38" s="15"/>
      <c r="D38" s="15"/>
      <c r="E38" s="15"/>
      <c r="F38" s="15"/>
      <c r="G38" s="15"/>
      <c r="H38" s="15"/>
      <c r="I38" s="15"/>
      <c r="J38" s="15"/>
    </row>
    <row r="39" customFormat="false" ht="15" hidden="false" customHeight="false" outlineLevel="0" collapsed="false">
      <c r="A39" s="21" t="s">
        <v>57</v>
      </c>
      <c r="B39" s="6" t="s">
        <v>58</v>
      </c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A40" s="20" t="s">
        <v>59</v>
      </c>
      <c r="B40" s="15" t="s">
        <v>60</v>
      </c>
      <c r="C40" s="15"/>
      <c r="D40" s="15"/>
      <c r="E40" s="15"/>
      <c r="F40" s="15"/>
      <c r="G40" s="15"/>
      <c r="H40" s="15"/>
      <c r="I40" s="15"/>
      <c r="J40" s="15"/>
    </row>
    <row r="41" customFormat="false" ht="15" hidden="false" customHeight="false" outlineLevel="0" collapsed="false">
      <c r="A41" s="20" t="s">
        <v>61</v>
      </c>
      <c r="B41" s="6" t="s">
        <v>62</v>
      </c>
      <c r="C41" s="6"/>
      <c r="D41" s="6"/>
      <c r="E41" s="6"/>
      <c r="F41" s="6"/>
      <c r="G41" s="6"/>
      <c r="H41" s="6"/>
      <c r="I41" s="6"/>
      <c r="J41" s="6"/>
    </row>
    <row r="42" customFormat="false" ht="29.85" hidden="false" customHeight="false" outlineLevel="0" collapsed="false">
      <c r="A42" s="20" t="s">
        <v>63</v>
      </c>
      <c r="B42" s="15" t="s">
        <v>64</v>
      </c>
      <c r="C42" s="15"/>
      <c r="D42" s="15"/>
      <c r="E42" s="15"/>
      <c r="F42" s="15"/>
      <c r="G42" s="15"/>
      <c r="H42" s="15"/>
      <c r="I42" s="15"/>
      <c r="J42" s="15"/>
    </row>
    <row r="43" customFormat="false" ht="15" hidden="false" customHeight="false" outlineLevel="0" collapsed="false">
      <c r="A43" s="20" t="s">
        <v>65</v>
      </c>
      <c r="B43" s="15" t="s">
        <v>66</v>
      </c>
      <c r="C43" s="15"/>
      <c r="D43" s="15"/>
      <c r="E43" s="15"/>
      <c r="F43" s="15"/>
      <c r="G43" s="15"/>
      <c r="H43" s="15"/>
      <c r="I43" s="15"/>
      <c r="J43" s="15"/>
    </row>
    <row r="44" customFormat="false" ht="15" hidden="false" customHeight="false" outlineLevel="0" collapsed="false">
      <c r="A44" s="20" t="s">
        <v>67</v>
      </c>
      <c r="B44" s="6" t="s">
        <v>68</v>
      </c>
      <c r="C44" s="6"/>
      <c r="D44" s="6"/>
      <c r="E44" s="6"/>
      <c r="F44" s="6"/>
      <c r="G44" s="6"/>
      <c r="H44" s="6"/>
      <c r="I44" s="6"/>
      <c r="J44" s="6"/>
    </row>
    <row r="45" customFormat="false" ht="15" hidden="false" customHeight="false" outlineLevel="0" collapsed="false">
      <c r="A45" s="20" t="s">
        <v>69</v>
      </c>
      <c r="B45" s="15" t="s">
        <v>70</v>
      </c>
      <c r="C45" s="15"/>
      <c r="D45" s="15"/>
      <c r="E45" s="15"/>
      <c r="F45" s="15"/>
      <c r="G45" s="15"/>
      <c r="H45" s="15"/>
      <c r="I45" s="15"/>
      <c r="J45" s="15"/>
    </row>
    <row r="46" customFormat="false" ht="15" hidden="false" customHeight="false" outlineLevel="0" collapsed="false">
      <c r="A46" s="20" t="s">
        <v>71</v>
      </c>
      <c r="B46" s="15" t="s">
        <v>72</v>
      </c>
      <c r="C46" s="15"/>
      <c r="D46" s="15"/>
      <c r="E46" s="15"/>
      <c r="F46" s="15"/>
      <c r="G46" s="15"/>
      <c r="H46" s="15"/>
      <c r="I46" s="15"/>
      <c r="J46" s="15"/>
    </row>
    <row r="47" customFormat="false" ht="15" hidden="false" customHeight="false" outlineLevel="0" collapsed="false">
      <c r="A47" s="20" t="s">
        <v>73</v>
      </c>
      <c r="B47" s="6" t="s">
        <v>74</v>
      </c>
      <c r="C47" s="6"/>
      <c r="D47" s="6"/>
      <c r="E47" s="6"/>
      <c r="F47" s="6"/>
      <c r="G47" s="6"/>
      <c r="H47" s="6"/>
      <c r="I47" s="6"/>
      <c r="J47" s="6"/>
    </row>
  </sheetData>
  <mergeCells count="26">
    <mergeCell ref="B4:J4"/>
    <mergeCell ref="B5:J5"/>
    <mergeCell ref="B6:J6"/>
    <mergeCell ref="B7:J7"/>
    <mergeCell ref="B8:J8"/>
    <mergeCell ref="B9:J9"/>
    <mergeCell ref="B10:J10"/>
    <mergeCell ref="B11:J11"/>
    <mergeCell ref="B12:J12"/>
    <mergeCell ref="B13:J13"/>
    <mergeCell ref="A20:J20"/>
    <mergeCell ref="B31:J31"/>
    <mergeCell ref="B32:J32"/>
    <mergeCell ref="B33:J33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6:J46"/>
    <mergeCell ref="B47:J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8"/>
    <col collapsed="false" customWidth="true" hidden="false" outlineLevel="0" max="7" min="6" style="0" width="30"/>
    <col collapsed="false" customWidth="true" hidden="false" outlineLevel="0" max="8" min="8" style="0" width="22"/>
    <col collapsed="false" customWidth="true" hidden="false" outlineLevel="0" max="9" min="9" style="0" width="26"/>
    <col collapsed="false" customWidth="true" hidden="false" outlineLevel="0" max="10" min="10" style="0" width="30"/>
    <col collapsed="false" customWidth="true" hidden="false" outlineLevel="0" max="11" min="11" style="0" width="44"/>
    <col collapsed="false" customWidth="true" hidden="false" outlineLevel="0" max="12" min="12" style="0" width="22"/>
    <col collapsed="false" customWidth="true" hidden="false" outlineLevel="0" max="13" min="13" style="0" width="16"/>
    <col collapsed="false" customWidth="true" hidden="false" outlineLevel="0" max="14" min="14" style="0" width="9"/>
    <col collapsed="false" customWidth="true" hidden="false" outlineLevel="0" max="15" min="15" style="0" width="34"/>
    <col collapsed="false" customWidth="true" hidden="false" outlineLevel="0" max="16" min="16" style="0" width="40"/>
    <col collapsed="false" customWidth="true" hidden="false" outlineLevel="0" max="17" min="17" style="0" width="48"/>
    <col collapsed="false" customWidth="true" hidden="false" outlineLevel="0" max="18" min="18" style="0" width="20"/>
  </cols>
  <sheetData>
    <row r="1" customFormat="false" ht="15" hidden="false" customHeight="false" outlineLevel="0" collapsed="false">
      <c r="A1" s="22" t="s">
        <v>75</v>
      </c>
      <c r="B1" s="22" t="s">
        <v>76</v>
      </c>
      <c r="C1" s="22" t="s">
        <v>77</v>
      </c>
      <c r="D1" s="22" t="s">
        <v>78</v>
      </c>
      <c r="E1" s="23" t="s">
        <v>79</v>
      </c>
      <c r="F1" s="23" t="s">
        <v>80</v>
      </c>
      <c r="G1" s="23" t="s">
        <v>81</v>
      </c>
      <c r="H1" s="23" t="s">
        <v>82</v>
      </c>
      <c r="I1" s="24" t="s">
        <v>83</v>
      </c>
      <c r="J1" s="24" t="s">
        <v>84</v>
      </c>
      <c r="K1" s="24" t="s">
        <v>85</v>
      </c>
      <c r="L1" s="25" t="s">
        <v>86</v>
      </c>
      <c r="M1" s="25" t="s">
        <v>55</v>
      </c>
      <c r="N1" s="25" t="s">
        <v>87</v>
      </c>
      <c r="O1" s="26" t="s">
        <v>88</v>
      </c>
      <c r="P1" s="26" t="s">
        <v>89</v>
      </c>
      <c r="Q1" s="26" t="s">
        <v>90</v>
      </c>
      <c r="R1" s="25" t="s">
        <v>91</v>
      </c>
    </row>
    <row r="2" customFormat="false" ht="120" hidden="false" customHeight="true" outlineLevel="0" collapsed="false">
      <c r="A2" s="27" t="s">
        <v>92</v>
      </c>
      <c r="B2" s="28" t="s">
        <v>93</v>
      </c>
      <c r="C2" s="28" t="s">
        <v>94</v>
      </c>
      <c r="D2" s="29" t="s">
        <v>95</v>
      </c>
      <c r="E2" s="27" t="s">
        <v>96</v>
      </c>
      <c r="F2" s="29" t="s">
        <v>97</v>
      </c>
      <c r="G2" s="29" t="s">
        <v>98</v>
      </c>
      <c r="H2" s="30" t="s">
        <v>99</v>
      </c>
      <c r="I2" s="28" t="s">
        <v>100</v>
      </c>
      <c r="J2" s="28" t="s">
        <v>101</v>
      </c>
      <c r="K2" s="29" t="s">
        <v>102</v>
      </c>
      <c r="L2" s="29" t="s">
        <v>103</v>
      </c>
      <c r="M2" s="28" t="s">
        <v>104</v>
      </c>
      <c r="N2" s="27" t="n">
        <f aca="false">COUNTA(예약생성_데이터!$A$2:$A$200)</f>
        <v>9</v>
      </c>
      <c r="O2" s="29" t="s">
        <v>105</v>
      </c>
      <c r="P2" s="28" t="s">
        <v>106</v>
      </c>
      <c r="Q2" s="28" t="s">
        <v>107</v>
      </c>
      <c r="R2" s="29" t="s">
        <v>108</v>
      </c>
    </row>
    <row r="3" customFormat="false" ht="120" hidden="false" customHeight="true" outlineLevel="0" collapsed="false">
      <c r="A3" s="27" t="s">
        <v>109</v>
      </c>
      <c r="B3" s="28" t="s">
        <v>110</v>
      </c>
      <c r="C3" s="28" t="s">
        <v>111</v>
      </c>
      <c r="D3" s="29" t="s">
        <v>112</v>
      </c>
      <c r="E3" s="27" t="s">
        <v>113</v>
      </c>
      <c r="F3" s="29" t="s">
        <v>114</v>
      </c>
      <c r="G3" s="29" t="s">
        <v>115</v>
      </c>
      <c r="H3" s="30" t="s">
        <v>99</v>
      </c>
      <c r="I3" s="28" t="s">
        <v>100</v>
      </c>
      <c r="J3" s="29" t="s">
        <v>116</v>
      </c>
      <c r="K3" s="28" t="s">
        <v>117</v>
      </c>
      <c r="L3" s="29" t="s">
        <v>118</v>
      </c>
      <c r="M3" s="28" t="s">
        <v>119</v>
      </c>
      <c r="N3" s="27" t="n">
        <f aca="false">COUNTA(부분수정_데이터!$A$2:$A$200)</f>
        <v>33</v>
      </c>
      <c r="O3" s="29" t="s">
        <v>120</v>
      </c>
      <c r="P3" s="28" t="s">
        <v>121</v>
      </c>
      <c r="Q3" s="28" t="s">
        <v>122</v>
      </c>
      <c r="R3" s="29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36"/>
    <col collapsed="false" customWidth="true" hidden="false" outlineLevel="0" max="8" min="8" style="0" width="10"/>
    <col collapsed="false" customWidth="true" hidden="false" outlineLevel="0" max="9" min="9" style="0" width="26"/>
    <col collapsed="false" customWidth="true" hidden="false" outlineLevel="0" max="10" min="10" style="0" width="36"/>
    <col collapsed="false" customWidth="true" hidden="false" outlineLevel="0" max="11" min="11" style="0" width="10"/>
    <col collapsed="false" customWidth="true" hidden="false" outlineLevel="0" max="12" min="12" style="0" width="34"/>
    <col collapsed="false" customWidth="true" hidden="false" outlineLevel="0" max="14" min="13" style="0" width="9"/>
    <col collapsed="false" customWidth="true" hidden="false" outlineLevel="0" max="15" min="15" style="0" width="32"/>
    <col collapsed="false" customWidth="true" hidden="false" outlineLevel="0" max="16" min="16" style="0" width="9"/>
  </cols>
  <sheetData>
    <row r="1" customFormat="false" ht="26.85" hidden="false" customHeight="false" outlineLevel="0" collapsed="false">
      <c r="A1" s="31" t="s">
        <v>57</v>
      </c>
      <c r="B1" s="22" t="s">
        <v>24</v>
      </c>
      <c r="C1" s="22" t="s">
        <v>124</v>
      </c>
      <c r="D1" s="22" t="s">
        <v>76</v>
      </c>
      <c r="E1" s="22" t="s">
        <v>125</v>
      </c>
      <c r="F1" s="22" t="s">
        <v>77</v>
      </c>
      <c r="G1" s="24" t="s">
        <v>126</v>
      </c>
      <c r="H1" s="24" t="s">
        <v>127</v>
      </c>
      <c r="I1" s="24" t="s">
        <v>128</v>
      </c>
      <c r="J1" s="24" t="s">
        <v>129</v>
      </c>
      <c r="K1" s="32" t="s">
        <v>130</v>
      </c>
      <c r="L1" s="32" t="s">
        <v>131</v>
      </c>
      <c r="M1" s="32" t="s">
        <v>67</v>
      </c>
      <c r="N1" s="32" t="s">
        <v>132</v>
      </c>
      <c r="O1" s="32" t="s">
        <v>133</v>
      </c>
      <c r="P1" s="22" t="s">
        <v>71</v>
      </c>
    </row>
    <row r="2" customFormat="false" ht="126.85" hidden="false" customHeight="false" outlineLevel="0" collapsed="false">
      <c r="A2" s="29" t="s">
        <v>134</v>
      </c>
      <c r="B2" s="27" t="s">
        <v>92</v>
      </c>
      <c r="C2" s="28" t="s">
        <v>135</v>
      </c>
      <c r="D2" s="28" t="s">
        <v>136</v>
      </c>
      <c r="E2" s="28" t="s">
        <v>135</v>
      </c>
      <c r="F2" s="28" t="s">
        <v>137</v>
      </c>
      <c r="G2" s="30" t="s">
        <v>138</v>
      </c>
      <c r="H2" s="27" t="n">
        <v>200</v>
      </c>
      <c r="I2" s="29" t="s">
        <v>139</v>
      </c>
      <c r="J2" s="29" t="s">
        <v>102</v>
      </c>
      <c r="K2" s="27" t="n">
        <v>200</v>
      </c>
      <c r="L2" s="28" t="s">
        <v>140</v>
      </c>
      <c r="M2" s="27" t="s">
        <v>26</v>
      </c>
      <c r="N2" s="27"/>
      <c r="O2" s="28"/>
      <c r="P2" s="27" t="n">
        <v>1</v>
      </c>
    </row>
    <row r="3" customFormat="false" ht="126.85" hidden="false" customHeight="false" outlineLevel="0" collapsed="false">
      <c r="A3" s="29" t="s">
        <v>141</v>
      </c>
      <c r="B3" s="27" t="s">
        <v>92</v>
      </c>
      <c r="C3" s="28" t="s">
        <v>142</v>
      </c>
      <c r="D3" s="29" t="s">
        <v>143</v>
      </c>
      <c r="E3" s="28" t="s">
        <v>144</v>
      </c>
      <c r="F3" s="28" t="s">
        <v>145</v>
      </c>
      <c r="G3" s="30" t="s">
        <v>146</v>
      </c>
      <c r="H3" s="27" t="n">
        <v>200</v>
      </c>
      <c r="I3" s="29" t="s">
        <v>139</v>
      </c>
      <c r="J3" s="29" t="s">
        <v>102</v>
      </c>
      <c r="K3" s="27" t="n">
        <v>200</v>
      </c>
      <c r="L3" s="28" t="s">
        <v>140</v>
      </c>
      <c r="M3" s="27" t="s">
        <v>26</v>
      </c>
      <c r="N3" s="27"/>
      <c r="O3" s="28"/>
      <c r="P3" s="27" t="n">
        <v>2</v>
      </c>
    </row>
    <row r="4" customFormat="false" ht="126.85" hidden="false" customHeight="false" outlineLevel="0" collapsed="false">
      <c r="A4" s="29" t="s">
        <v>147</v>
      </c>
      <c r="B4" s="27" t="s">
        <v>92</v>
      </c>
      <c r="C4" s="28" t="s">
        <v>142</v>
      </c>
      <c r="D4" s="29" t="s">
        <v>148</v>
      </c>
      <c r="E4" s="28" t="s">
        <v>149</v>
      </c>
      <c r="F4" s="28" t="s">
        <v>150</v>
      </c>
      <c r="G4" s="30" t="s">
        <v>151</v>
      </c>
      <c r="H4" s="27" t="n">
        <v>400</v>
      </c>
      <c r="I4" s="28" t="s">
        <v>152</v>
      </c>
      <c r="J4" s="29" t="s">
        <v>102</v>
      </c>
      <c r="K4" s="27" t="n">
        <v>200</v>
      </c>
      <c r="L4" s="29" t="s">
        <v>153</v>
      </c>
      <c r="M4" s="27" t="s">
        <v>27</v>
      </c>
      <c r="N4" s="27" t="s">
        <v>154</v>
      </c>
      <c r="O4" s="28"/>
      <c r="P4" s="27" t="n">
        <v>3</v>
      </c>
    </row>
    <row r="5" customFormat="false" ht="129.85" hidden="false" customHeight="false" outlineLevel="0" collapsed="false">
      <c r="A5" s="29" t="s">
        <v>155</v>
      </c>
      <c r="B5" s="27" t="s">
        <v>92</v>
      </c>
      <c r="C5" s="28" t="s">
        <v>156</v>
      </c>
      <c r="D5" s="29" t="s">
        <v>157</v>
      </c>
      <c r="E5" s="28" t="s">
        <v>158</v>
      </c>
      <c r="F5" s="28" t="s">
        <v>159</v>
      </c>
      <c r="G5" s="30" t="s">
        <v>160</v>
      </c>
      <c r="H5" s="27" t="n">
        <v>400</v>
      </c>
      <c r="I5" s="28" t="s">
        <v>152</v>
      </c>
      <c r="J5" s="29" t="s">
        <v>102</v>
      </c>
      <c r="K5" s="27" t="n">
        <v>200</v>
      </c>
      <c r="L5" s="29" t="s">
        <v>161</v>
      </c>
      <c r="M5" s="27" t="s">
        <v>27</v>
      </c>
      <c r="N5" s="27" t="s">
        <v>162</v>
      </c>
      <c r="O5" s="29" t="s">
        <v>163</v>
      </c>
      <c r="P5" s="27" t="n">
        <v>4</v>
      </c>
    </row>
    <row r="6" customFormat="false" ht="116.4" hidden="false" customHeight="false" outlineLevel="0" collapsed="false">
      <c r="A6" s="29" t="s">
        <v>164</v>
      </c>
      <c r="B6" s="27" t="s">
        <v>92</v>
      </c>
      <c r="C6" s="28" t="s">
        <v>165</v>
      </c>
      <c r="D6" s="29" t="s">
        <v>166</v>
      </c>
      <c r="E6" s="29" t="s">
        <v>167</v>
      </c>
      <c r="F6" s="28" t="s">
        <v>168</v>
      </c>
      <c r="G6" s="30" t="s">
        <v>169</v>
      </c>
      <c r="H6" s="27" t="n">
        <v>400</v>
      </c>
      <c r="I6" s="28" t="s">
        <v>152</v>
      </c>
      <c r="J6" s="29" t="s">
        <v>102</v>
      </c>
      <c r="K6" s="27" t="n">
        <v>500</v>
      </c>
      <c r="L6" s="28" t="s">
        <v>170</v>
      </c>
      <c r="M6" s="27" t="s">
        <v>27</v>
      </c>
      <c r="N6" s="27" t="s">
        <v>171</v>
      </c>
      <c r="O6" s="28"/>
      <c r="P6" s="27" t="n">
        <v>5</v>
      </c>
    </row>
    <row r="7" customFormat="false" ht="126.85" hidden="false" customHeight="false" outlineLevel="0" collapsed="false">
      <c r="A7" s="29" t="s">
        <v>172</v>
      </c>
      <c r="B7" s="27" t="s">
        <v>92</v>
      </c>
      <c r="C7" s="28" t="s">
        <v>173</v>
      </c>
      <c r="D7" s="28" t="s">
        <v>174</v>
      </c>
      <c r="E7" s="28" t="s">
        <v>175</v>
      </c>
      <c r="F7" s="28" t="s">
        <v>176</v>
      </c>
      <c r="G7" s="30" t="s">
        <v>177</v>
      </c>
      <c r="H7" s="27" t="n">
        <v>400</v>
      </c>
      <c r="I7" s="28" t="s">
        <v>152</v>
      </c>
      <c r="J7" s="29" t="s">
        <v>102</v>
      </c>
      <c r="K7" s="27" t="n">
        <v>200</v>
      </c>
      <c r="L7" s="29" t="s">
        <v>178</v>
      </c>
      <c r="M7" s="27" t="s">
        <v>27</v>
      </c>
      <c r="N7" s="27" t="s">
        <v>179</v>
      </c>
      <c r="O7" s="28"/>
      <c r="P7" s="27" t="n">
        <v>6</v>
      </c>
    </row>
    <row r="8" customFormat="false" ht="126.85" hidden="false" customHeight="false" outlineLevel="0" collapsed="false">
      <c r="A8" s="29" t="s">
        <v>180</v>
      </c>
      <c r="B8" s="27" t="s">
        <v>92</v>
      </c>
      <c r="C8" s="28" t="s">
        <v>173</v>
      </c>
      <c r="D8" s="29" t="s">
        <v>181</v>
      </c>
      <c r="E8" s="28" t="s">
        <v>182</v>
      </c>
      <c r="F8" s="28" t="s">
        <v>183</v>
      </c>
      <c r="G8" s="30" t="s">
        <v>184</v>
      </c>
      <c r="H8" s="27" t="n">
        <v>400</v>
      </c>
      <c r="I8" s="28" t="s">
        <v>152</v>
      </c>
      <c r="J8" s="29" t="s">
        <v>102</v>
      </c>
      <c r="K8" s="27" t="n">
        <v>200</v>
      </c>
      <c r="L8" s="29" t="s">
        <v>185</v>
      </c>
      <c r="M8" s="27" t="s">
        <v>27</v>
      </c>
      <c r="N8" s="27" t="s">
        <v>186</v>
      </c>
      <c r="O8" s="28"/>
      <c r="P8" s="27" t="n">
        <v>7</v>
      </c>
    </row>
    <row r="9" customFormat="false" ht="126.85" hidden="false" customHeight="false" outlineLevel="0" collapsed="false">
      <c r="A9" s="29" t="s">
        <v>187</v>
      </c>
      <c r="B9" s="27" t="s">
        <v>92</v>
      </c>
      <c r="C9" s="28" t="s">
        <v>156</v>
      </c>
      <c r="D9" s="29" t="s">
        <v>188</v>
      </c>
      <c r="E9" s="29" t="s">
        <v>189</v>
      </c>
      <c r="F9" s="29" t="s">
        <v>190</v>
      </c>
      <c r="G9" s="30" t="s">
        <v>191</v>
      </c>
      <c r="H9" s="27" t="n">
        <v>400</v>
      </c>
      <c r="I9" s="28" t="s">
        <v>152</v>
      </c>
      <c r="J9" s="29" t="s">
        <v>102</v>
      </c>
      <c r="K9" s="27" t="n">
        <v>200</v>
      </c>
      <c r="L9" s="29" t="s">
        <v>192</v>
      </c>
      <c r="M9" s="27" t="s">
        <v>27</v>
      </c>
      <c r="N9" s="27" t="s">
        <v>193</v>
      </c>
      <c r="O9" s="28" t="s">
        <v>194</v>
      </c>
      <c r="P9" s="27" t="n">
        <v>8</v>
      </c>
    </row>
    <row r="10" customFormat="false" ht="126.85" hidden="false" customHeight="false" outlineLevel="0" collapsed="false">
      <c r="A10" s="29" t="s">
        <v>195</v>
      </c>
      <c r="B10" s="27" t="s">
        <v>92</v>
      </c>
      <c r="C10" s="28" t="s">
        <v>156</v>
      </c>
      <c r="D10" s="29" t="s">
        <v>196</v>
      </c>
      <c r="E10" s="29" t="s">
        <v>197</v>
      </c>
      <c r="F10" s="29" t="s">
        <v>198</v>
      </c>
      <c r="G10" s="30" t="s">
        <v>199</v>
      </c>
      <c r="H10" s="27" t="n">
        <v>400</v>
      </c>
      <c r="I10" s="28" t="s">
        <v>152</v>
      </c>
      <c r="J10" s="29" t="s">
        <v>102</v>
      </c>
      <c r="K10" s="27" t="n">
        <v>200</v>
      </c>
      <c r="L10" s="29" t="s">
        <v>192</v>
      </c>
      <c r="M10" s="27" t="s">
        <v>27</v>
      </c>
      <c r="N10" s="27" t="s">
        <v>200</v>
      </c>
      <c r="O10" s="28" t="s">
        <v>201</v>
      </c>
      <c r="P10" s="27" t="n">
        <v>9</v>
      </c>
    </row>
  </sheetData>
  <autoFilter ref="A1:P10"/>
  <conditionalFormatting sqref="M2:M10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</conditionalFormatting>
  <dataValidations count="1">
    <dataValidation allowBlank="true" errorStyle="stop" operator="between" showDropDown="false" showErrorMessage="false" showInputMessage="false" sqref="M2:M10" type="list">
      <formula1>"PASS,FAIL,BLOCK,N/A,Not Tested"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36"/>
    <col collapsed="false" customWidth="true" hidden="false" outlineLevel="0" max="8" min="8" style="0" width="10"/>
    <col collapsed="false" customWidth="true" hidden="false" outlineLevel="0" max="9" min="9" style="0" width="26"/>
    <col collapsed="false" customWidth="true" hidden="false" outlineLevel="0" max="10" min="10" style="0" width="36"/>
    <col collapsed="false" customWidth="true" hidden="false" outlineLevel="0" max="11" min="11" style="0" width="10"/>
    <col collapsed="false" customWidth="true" hidden="false" outlineLevel="0" max="12" min="12" style="0" width="34"/>
    <col collapsed="false" customWidth="true" hidden="false" outlineLevel="0" max="14" min="13" style="0" width="9"/>
    <col collapsed="false" customWidth="true" hidden="false" outlineLevel="0" max="15" min="15" style="0" width="32"/>
    <col collapsed="false" customWidth="true" hidden="false" outlineLevel="0" max="16" min="16" style="0" width="9"/>
  </cols>
  <sheetData>
    <row r="1" customFormat="false" ht="26.85" hidden="false" customHeight="false" outlineLevel="0" collapsed="false">
      <c r="A1" s="31" t="s">
        <v>57</v>
      </c>
      <c r="B1" s="22" t="s">
        <v>24</v>
      </c>
      <c r="C1" s="22" t="s">
        <v>124</v>
      </c>
      <c r="D1" s="22" t="s">
        <v>76</v>
      </c>
      <c r="E1" s="22" t="s">
        <v>125</v>
      </c>
      <c r="F1" s="22" t="s">
        <v>77</v>
      </c>
      <c r="G1" s="24" t="s">
        <v>126</v>
      </c>
      <c r="H1" s="24" t="s">
        <v>127</v>
      </c>
      <c r="I1" s="24" t="s">
        <v>128</v>
      </c>
      <c r="J1" s="24" t="s">
        <v>129</v>
      </c>
      <c r="K1" s="32" t="s">
        <v>130</v>
      </c>
      <c r="L1" s="32" t="s">
        <v>131</v>
      </c>
      <c r="M1" s="32" t="s">
        <v>67</v>
      </c>
      <c r="N1" s="32" t="s">
        <v>132</v>
      </c>
      <c r="O1" s="32" t="s">
        <v>133</v>
      </c>
      <c r="P1" s="22" t="s">
        <v>71</v>
      </c>
    </row>
    <row r="2" customFormat="false" ht="126.85" hidden="false" customHeight="false" outlineLevel="0" collapsed="false">
      <c r="A2" s="29" t="s">
        <v>202</v>
      </c>
      <c r="B2" s="27" t="s">
        <v>109</v>
      </c>
      <c r="C2" s="28" t="s">
        <v>203</v>
      </c>
      <c r="D2" s="28" t="s">
        <v>204</v>
      </c>
      <c r="E2" s="29" t="s">
        <v>205</v>
      </c>
      <c r="F2" s="28" t="s">
        <v>206</v>
      </c>
      <c r="G2" s="30" t="s">
        <v>207</v>
      </c>
      <c r="H2" s="27" t="n">
        <v>200</v>
      </c>
      <c r="I2" s="28" t="s">
        <v>208</v>
      </c>
      <c r="J2" s="29" t="s">
        <v>209</v>
      </c>
      <c r="K2" s="27" t="n">
        <v>200</v>
      </c>
      <c r="L2" s="28" t="s">
        <v>140</v>
      </c>
      <c r="M2" s="27" t="s">
        <v>26</v>
      </c>
      <c r="N2" s="27"/>
      <c r="O2" s="28"/>
      <c r="P2" s="27" t="n">
        <v>1</v>
      </c>
    </row>
    <row r="3" customFormat="false" ht="126.85" hidden="false" customHeight="false" outlineLevel="0" collapsed="false">
      <c r="A3" s="29" t="s">
        <v>210</v>
      </c>
      <c r="B3" s="27" t="s">
        <v>109</v>
      </c>
      <c r="C3" s="28" t="s">
        <v>203</v>
      </c>
      <c r="D3" s="28" t="s">
        <v>211</v>
      </c>
      <c r="E3" s="29" t="s">
        <v>212</v>
      </c>
      <c r="F3" s="28" t="s">
        <v>213</v>
      </c>
      <c r="G3" s="30" t="s">
        <v>214</v>
      </c>
      <c r="H3" s="27" t="n">
        <v>200</v>
      </c>
      <c r="I3" s="28" t="s">
        <v>208</v>
      </c>
      <c r="J3" s="29" t="s">
        <v>215</v>
      </c>
      <c r="K3" s="27" t="n">
        <v>200</v>
      </c>
      <c r="L3" s="28" t="s">
        <v>140</v>
      </c>
      <c r="M3" s="27" t="s">
        <v>26</v>
      </c>
      <c r="N3" s="27"/>
      <c r="O3" s="28"/>
      <c r="P3" s="27" t="n">
        <v>2</v>
      </c>
    </row>
    <row r="4" customFormat="false" ht="32.8" hidden="false" customHeight="false" outlineLevel="0" collapsed="false">
      <c r="A4" s="29" t="s">
        <v>216</v>
      </c>
      <c r="B4" s="27" t="s">
        <v>109</v>
      </c>
      <c r="C4" s="28" t="s">
        <v>203</v>
      </c>
      <c r="D4" s="29" t="s">
        <v>217</v>
      </c>
      <c r="E4" s="29" t="s">
        <v>218</v>
      </c>
      <c r="F4" s="29" t="s">
        <v>219</v>
      </c>
      <c r="G4" s="30" t="s">
        <v>220</v>
      </c>
      <c r="H4" s="27" t="n">
        <v>200</v>
      </c>
      <c r="I4" s="28" t="s">
        <v>208</v>
      </c>
      <c r="J4" s="29" t="s">
        <v>221</v>
      </c>
      <c r="K4" s="27" t="n">
        <v>200</v>
      </c>
      <c r="L4" s="28" t="s">
        <v>140</v>
      </c>
      <c r="M4" s="27" t="s">
        <v>26</v>
      </c>
      <c r="N4" s="27"/>
      <c r="O4" s="28"/>
      <c r="P4" s="27" t="n">
        <v>3</v>
      </c>
    </row>
    <row r="5" customFormat="false" ht="32.8" hidden="false" customHeight="false" outlineLevel="0" collapsed="false">
      <c r="A5" s="29" t="s">
        <v>222</v>
      </c>
      <c r="B5" s="27" t="s">
        <v>109</v>
      </c>
      <c r="C5" s="28" t="s">
        <v>203</v>
      </c>
      <c r="D5" s="29" t="s">
        <v>223</v>
      </c>
      <c r="E5" s="29" t="s">
        <v>224</v>
      </c>
      <c r="F5" s="29" t="s">
        <v>225</v>
      </c>
      <c r="G5" s="30" t="s">
        <v>226</v>
      </c>
      <c r="H5" s="27" t="n">
        <v>200</v>
      </c>
      <c r="I5" s="28" t="s">
        <v>208</v>
      </c>
      <c r="J5" s="29" t="s">
        <v>227</v>
      </c>
      <c r="K5" s="27" t="n">
        <v>200</v>
      </c>
      <c r="L5" s="28" t="s">
        <v>140</v>
      </c>
      <c r="M5" s="27" t="s">
        <v>26</v>
      </c>
      <c r="N5" s="27"/>
      <c r="O5" s="28"/>
      <c r="P5" s="27" t="n">
        <v>4</v>
      </c>
    </row>
    <row r="6" customFormat="false" ht="32.8" hidden="false" customHeight="false" outlineLevel="0" collapsed="false">
      <c r="A6" s="29" t="s">
        <v>228</v>
      </c>
      <c r="B6" s="27" t="s">
        <v>109</v>
      </c>
      <c r="C6" s="28" t="s">
        <v>203</v>
      </c>
      <c r="D6" s="29" t="s">
        <v>229</v>
      </c>
      <c r="E6" s="29" t="s">
        <v>230</v>
      </c>
      <c r="F6" s="29" t="s">
        <v>231</v>
      </c>
      <c r="G6" s="30" t="s">
        <v>232</v>
      </c>
      <c r="H6" s="27" t="n">
        <v>200</v>
      </c>
      <c r="I6" s="28" t="s">
        <v>208</v>
      </c>
      <c r="J6" s="29" t="s">
        <v>233</v>
      </c>
      <c r="K6" s="27" t="n">
        <v>200</v>
      </c>
      <c r="L6" s="28" t="s">
        <v>140</v>
      </c>
      <c r="M6" s="27" t="s">
        <v>26</v>
      </c>
      <c r="N6" s="27"/>
      <c r="O6" s="28"/>
      <c r="P6" s="27" t="n">
        <v>5</v>
      </c>
    </row>
    <row r="7" customFormat="false" ht="32.8" hidden="false" customHeight="false" outlineLevel="0" collapsed="false">
      <c r="A7" s="29" t="s">
        <v>234</v>
      </c>
      <c r="B7" s="27" t="s">
        <v>109</v>
      </c>
      <c r="C7" s="28" t="s">
        <v>203</v>
      </c>
      <c r="D7" s="29" t="s">
        <v>143</v>
      </c>
      <c r="E7" s="29" t="s">
        <v>235</v>
      </c>
      <c r="F7" s="28" t="s">
        <v>236</v>
      </c>
      <c r="G7" s="30" t="s">
        <v>237</v>
      </c>
      <c r="H7" s="27" t="n">
        <v>200</v>
      </c>
      <c r="I7" s="28" t="s">
        <v>208</v>
      </c>
      <c r="J7" s="29" t="s">
        <v>238</v>
      </c>
      <c r="K7" s="27" t="n">
        <v>200</v>
      </c>
      <c r="L7" s="28" t="s">
        <v>140</v>
      </c>
      <c r="M7" s="27" t="s">
        <v>26</v>
      </c>
      <c r="N7" s="27"/>
      <c r="O7" s="28"/>
      <c r="P7" s="27" t="n">
        <v>6</v>
      </c>
    </row>
    <row r="8" customFormat="false" ht="32.8" hidden="false" customHeight="false" outlineLevel="0" collapsed="false">
      <c r="A8" s="29" t="s">
        <v>239</v>
      </c>
      <c r="B8" s="27" t="s">
        <v>109</v>
      </c>
      <c r="C8" s="28" t="s">
        <v>203</v>
      </c>
      <c r="D8" s="29" t="s">
        <v>240</v>
      </c>
      <c r="E8" s="29" t="s">
        <v>241</v>
      </c>
      <c r="F8" s="29" t="s">
        <v>242</v>
      </c>
      <c r="G8" s="30" t="s">
        <v>243</v>
      </c>
      <c r="H8" s="27" t="n">
        <v>200</v>
      </c>
      <c r="I8" s="28" t="s">
        <v>208</v>
      </c>
      <c r="J8" s="29" t="s">
        <v>244</v>
      </c>
      <c r="K8" s="27" t="n">
        <v>200</v>
      </c>
      <c r="L8" s="28" t="s">
        <v>140</v>
      </c>
      <c r="M8" s="27" t="s">
        <v>26</v>
      </c>
      <c r="N8" s="27"/>
      <c r="O8" s="28"/>
      <c r="P8" s="27" t="n">
        <v>7</v>
      </c>
    </row>
    <row r="9" customFormat="false" ht="64.15" hidden="false" customHeight="false" outlineLevel="0" collapsed="false">
      <c r="A9" s="29" t="s">
        <v>245</v>
      </c>
      <c r="B9" s="27" t="s">
        <v>109</v>
      </c>
      <c r="C9" s="28" t="s">
        <v>203</v>
      </c>
      <c r="D9" s="29" t="s">
        <v>246</v>
      </c>
      <c r="E9" s="29" t="s">
        <v>247</v>
      </c>
      <c r="F9" s="29" t="s">
        <v>248</v>
      </c>
      <c r="G9" s="30" t="s">
        <v>249</v>
      </c>
      <c r="H9" s="27" t="n">
        <v>200</v>
      </c>
      <c r="I9" s="28" t="s">
        <v>208</v>
      </c>
      <c r="J9" s="29" t="s">
        <v>250</v>
      </c>
      <c r="K9" s="27" t="n">
        <v>200</v>
      </c>
      <c r="L9" s="28" t="s">
        <v>140</v>
      </c>
      <c r="M9" s="27" t="s">
        <v>26</v>
      </c>
      <c r="N9" s="27"/>
      <c r="O9" s="28"/>
      <c r="P9" s="27" t="n">
        <v>8</v>
      </c>
    </row>
    <row r="10" customFormat="false" ht="43.25" hidden="false" customHeight="false" outlineLevel="0" collapsed="false">
      <c r="A10" s="29" t="s">
        <v>251</v>
      </c>
      <c r="B10" s="27" t="s">
        <v>109</v>
      </c>
      <c r="C10" s="28" t="s">
        <v>203</v>
      </c>
      <c r="D10" s="29" t="s">
        <v>252</v>
      </c>
      <c r="E10" s="29" t="s">
        <v>253</v>
      </c>
      <c r="F10" s="29" t="s">
        <v>254</v>
      </c>
      <c r="G10" s="30" t="s">
        <v>255</v>
      </c>
      <c r="H10" s="27" t="n">
        <v>200</v>
      </c>
      <c r="I10" s="28" t="s">
        <v>208</v>
      </c>
      <c r="J10" s="29" t="s">
        <v>256</v>
      </c>
      <c r="K10" s="27" t="n">
        <v>200</v>
      </c>
      <c r="L10" s="28" t="s">
        <v>140</v>
      </c>
      <c r="M10" s="27" t="s">
        <v>26</v>
      </c>
      <c r="N10" s="27"/>
      <c r="O10" s="28"/>
      <c r="P10" s="27" t="n">
        <v>9</v>
      </c>
    </row>
    <row r="11" customFormat="false" ht="32.8" hidden="false" customHeight="false" outlineLevel="0" collapsed="false">
      <c r="A11" s="29" t="s">
        <v>257</v>
      </c>
      <c r="B11" s="27" t="s">
        <v>109</v>
      </c>
      <c r="C11" s="28" t="s">
        <v>156</v>
      </c>
      <c r="D11" s="29" t="s">
        <v>258</v>
      </c>
      <c r="E11" s="29" t="s">
        <v>259</v>
      </c>
      <c r="F11" s="28" t="s">
        <v>260</v>
      </c>
      <c r="G11" s="30" t="s">
        <v>261</v>
      </c>
      <c r="H11" s="27" t="n">
        <v>400</v>
      </c>
      <c r="I11" s="28" t="s">
        <v>262</v>
      </c>
      <c r="J11" s="28" t="s">
        <v>263</v>
      </c>
      <c r="K11" s="27" t="n">
        <v>200</v>
      </c>
      <c r="L11" s="29" t="s">
        <v>264</v>
      </c>
      <c r="M11" s="27" t="s">
        <v>27</v>
      </c>
      <c r="N11" s="27" t="s">
        <v>265</v>
      </c>
      <c r="O11" s="28"/>
      <c r="P11" s="27" t="n">
        <v>10</v>
      </c>
    </row>
    <row r="12" customFormat="false" ht="32.8" hidden="false" customHeight="false" outlineLevel="0" collapsed="false">
      <c r="A12" s="29" t="s">
        <v>266</v>
      </c>
      <c r="B12" s="27" t="s">
        <v>109</v>
      </c>
      <c r="C12" s="28" t="s">
        <v>156</v>
      </c>
      <c r="D12" s="29" t="s">
        <v>267</v>
      </c>
      <c r="E12" s="29" t="s">
        <v>268</v>
      </c>
      <c r="F12" s="28" t="s">
        <v>269</v>
      </c>
      <c r="G12" s="30" t="s">
        <v>270</v>
      </c>
      <c r="H12" s="27" t="n">
        <v>400</v>
      </c>
      <c r="I12" s="28" t="s">
        <v>262</v>
      </c>
      <c r="J12" s="28" t="s">
        <v>263</v>
      </c>
      <c r="K12" s="27" t="n">
        <v>200</v>
      </c>
      <c r="L12" s="29" t="s">
        <v>271</v>
      </c>
      <c r="M12" s="27" t="s">
        <v>27</v>
      </c>
      <c r="N12" s="27" t="s">
        <v>265</v>
      </c>
      <c r="O12" s="28"/>
      <c r="P12" s="27" t="n">
        <v>11</v>
      </c>
    </row>
    <row r="13" customFormat="false" ht="32.8" hidden="false" customHeight="false" outlineLevel="0" collapsed="false">
      <c r="A13" s="29" t="s">
        <v>272</v>
      </c>
      <c r="B13" s="27" t="s">
        <v>109</v>
      </c>
      <c r="C13" s="28" t="s">
        <v>156</v>
      </c>
      <c r="D13" s="29" t="s">
        <v>273</v>
      </c>
      <c r="E13" s="29" t="s">
        <v>274</v>
      </c>
      <c r="F13" s="28" t="s">
        <v>275</v>
      </c>
      <c r="G13" s="30" t="s">
        <v>276</v>
      </c>
      <c r="H13" s="27" t="n">
        <v>400</v>
      </c>
      <c r="I13" s="28" t="s">
        <v>262</v>
      </c>
      <c r="J13" s="28" t="s">
        <v>263</v>
      </c>
      <c r="K13" s="27" t="n">
        <v>200</v>
      </c>
      <c r="L13" s="29" t="s">
        <v>277</v>
      </c>
      <c r="M13" s="27" t="s">
        <v>27</v>
      </c>
      <c r="N13" s="27" t="s">
        <v>278</v>
      </c>
      <c r="O13" s="28"/>
      <c r="P13" s="27" t="n">
        <v>12</v>
      </c>
    </row>
    <row r="14" customFormat="false" ht="35.8" hidden="false" customHeight="false" outlineLevel="0" collapsed="false">
      <c r="A14" s="29" t="s">
        <v>279</v>
      </c>
      <c r="B14" s="27" t="s">
        <v>109</v>
      </c>
      <c r="C14" s="28" t="s">
        <v>156</v>
      </c>
      <c r="D14" s="29" t="s">
        <v>157</v>
      </c>
      <c r="E14" s="29" t="s">
        <v>280</v>
      </c>
      <c r="F14" s="29" t="s">
        <v>281</v>
      </c>
      <c r="G14" s="30" t="s">
        <v>282</v>
      </c>
      <c r="H14" s="27" t="n">
        <v>400</v>
      </c>
      <c r="I14" s="28" t="s">
        <v>262</v>
      </c>
      <c r="J14" s="28" t="s">
        <v>263</v>
      </c>
      <c r="K14" s="27" t="n">
        <v>200</v>
      </c>
      <c r="L14" s="29" t="s">
        <v>283</v>
      </c>
      <c r="M14" s="27" t="s">
        <v>27</v>
      </c>
      <c r="N14" s="27" t="s">
        <v>284</v>
      </c>
      <c r="O14" s="28"/>
      <c r="P14" s="27" t="n">
        <v>13</v>
      </c>
    </row>
    <row r="15" customFormat="false" ht="44" hidden="false" customHeight="false" outlineLevel="0" collapsed="false">
      <c r="A15" s="29" t="s">
        <v>285</v>
      </c>
      <c r="B15" s="27" t="s">
        <v>109</v>
      </c>
      <c r="C15" s="28" t="s">
        <v>156</v>
      </c>
      <c r="D15" s="29" t="s">
        <v>188</v>
      </c>
      <c r="E15" s="29" t="s">
        <v>286</v>
      </c>
      <c r="F15" s="29" t="s">
        <v>287</v>
      </c>
      <c r="G15" s="30" t="s">
        <v>288</v>
      </c>
      <c r="H15" s="27" t="n">
        <v>400</v>
      </c>
      <c r="I15" s="28" t="s">
        <v>262</v>
      </c>
      <c r="J15" s="28" t="s">
        <v>263</v>
      </c>
      <c r="K15" s="27" t="n">
        <v>200</v>
      </c>
      <c r="L15" s="29" t="s">
        <v>289</v>
      </c>
      <c r="M15" s="27" t="s">
        <v>27</v>
      </c>
      <c r="N15" s="27" t="s">
        <v>290</v>
      </c>
      <c r="O15" s="28" t="s">
        <v>291</v>
      </c>
      <c r="P15" s="27" t="n">
        <v>14</v>
      </c>
    </row>
    <row r="16" customFormat="false" ht="32.8" hidden="false" customHeight="false" outlineLevel="0" collapsed="false">
      <c r="A16" s="29" t="s">
        <v>292</v>
      </c>
      <c r="B16" s="27" t="s">
        <v>109</v>
      </c>
      <c r="C16" s="28" t="s">
        <v>156</v>
      </c>
      <c r="D16" s="29" t="s">
        <v>196</v>
      </c>
      <c r="E16" s="29" t="s">
        <v>293</v>
      </c>
      <c r="F16" s="29" t="s">
        <v>294</v>
      </c>
      <c r="G16" s="30" t="s">
        <v>295</v>
      </c>
      <c r="H16" s="27" t="n">
        <v>400</v>
      </c>
      <c r="I16" s="28" t="s">
        <v>262</v>
      </c>
      <c r="J16" s="28" t="s">
        <v>263</v>
      </c>
      <c r="K16" s="27" t="n">
        <v>200</v>
      </c>
      <c r="L16" s="29" t="s">
        <v>289</v>
      </c>
      <c r="M16" s="27" t="s">
        <v>27</v>
      </c>
      <c r="N16" s="27" t="s">
        <v>290</v>
      </c>
      <c r="O16" s="28" t="s">
        <v>296</v>
      </c>
      <c r="P16" s="27" t="n">
        <v>15</v>
      </c>
    </row>
    <row r="17" customFormat="false" ht="32.8" hidden="false" customHeight="false" outlineLevel="0" collapsed="false">
      <c r="A17" s="29" t="s">
        <v>297</v>
      </c>
      <c r="B17" s="27" t="s">
        <v>109</v>
      </c>
      <c r="C17" s="28" t="s">
        <v>156</v>
      </c>
      <c r="D17" s="29" t="s">
        <v>298</v>
      </c>
      <c r="E17" s="29" t="s">
        <v>299</v>
      </c>
      <c r="F17" s="29" t="s">
        <v>300</v>
      </c>
      <c r="G17" s="30" t="s">
        <v>301</v>
      </c>
      <c r="H17" s="27" t="n">
        <v>400</v>
      </c>
      <c r="I17" s="28" t="s">
        <v>262</v>
      </c>
      <c r="J17" s="28" t="s">
        <v>263</v>
      </c>
      <c r="K17" s="27" t="n">
        <v>200</v>
      </c>
      <c r="L17" s="29" t="s">
        <v>302</v>
      </c>
      <c r="M17" s="27" t="s">
        <v>27</v>
      </c>
      <c r="N17" s="27" t="s">
        <v>303</v>
      </c>
      <c r="O17" s="28" t="s">
        <v>304</v>
      </c>
      <c r="P17" s="27" t="n">
        <v>16</v>
      </c>
    </row>
    <row r="18" customFormat="false" ht="32.8" hidden="false" customHeight="false" outlineLevel="0" collapsed="false">
      <c r="A18" s="29" t="s">
        <v>305</v>
      </c>
      <c r="B18" s="27" t="s">
        <v>109</v>
      </c>
      <c r="C18" s="28" t="s">
        <v>156</v>
      </c>
      <c r="D18" s="29" t="s">
        <v>306</v>
      </c>
      <c r="E18" s="29" t="s">
        <v>307</v>
      </c>
      <c r="F18" s="28" t="s">
        <v>308</v>
      </c>
      <c r="G18" s="30" t="s">
        <v>309</v>
      </c>
      <c r="H18" s="27" t="n">
        <v>400</v>
      </c>
      <c r="I18" s="28" t="s">
        <v>262</v>
      </c>
      <c r="J18" s="28" t="s">
        <v>263</v>
      </c>
      <c r="K18" s="27" t="n">
        <v>200</v>
      </c>
      <c r="L18" s="29" t="s">
        <v>310</v>
      </c>
      <c r="M18" s="27" t="s">
        <v>27</v>
      </c>
      <c r="N18" s="27" t="s">
        <v>311</v>
      </c>
      <c r="O18" s="28"/>
      <c r="P18" s="27" t="n">
        <v>17</v>
      </c>
    </row>
    <row r="19" customFormat="false" ht="32.8" hidden="false" customHeight="false" outlineLevel="0" collapsed="false">
      <c r="A19" s="29" t="s">
        <v>312</v>
      </c>
      <c r="B19" s="27" t="s">
        <v>109</v>
      </c>
      <c r="C19" s="28" t="s">
        <v>156</v>
      </c>
      <c r="D19" s="29" t="s">
        <v>313</v>
      </c>
      <c r="E19" s="29" t="s">
        <v>314</v>
      </c>
      <c r="F19" s="28" t="s">
        <v>315</v>
      </c>
      <c r="G19" s="30" t="s">
        <v>316</v>
      </c>
      <c r="H19" s="27" t="n">
        <v>400</v>
      </c>
      <c r="I19" s="28" t="s">
        <v>262</v>
      </c>
      <c r="J19" s="28" t="s">
        <v>263</v>
      </c>
      <c r="K19" s="27" t="n">
        <v>200</v>
      </c>
      <c r="L19" s="29" t="s">
        <v>317</v>
      </c>
      <c r="M19" s="27" t="s">
        <v>27</v>
      </c>
      <c r="N19" s="27" t="s">
        <v>265</v>
      </c>
      <c r="O19" s="28"/>
      <c r="P19" s="27" t="n">
        <v>18</v>
      </c>
    </row>
    <row r="20" customFormat="false" ht="32.8" hidden="false" customHeight="false" outlineLevel="0" collapsed="false">
      <c r="A20" s="29" t="s">
        <v>318</v>
      </c>
      <c r="B20" s="27" t="s">
        <v>109</v>
      </c>
      <c r="C20" s="28" t="s">
        <v>142</v>
      </c>
      <c r="D20" s="29" t="s">
        <v>319</v>
      </c>
      <c r="E20" s="29" t="s">
        <v>320</v>
      </c>
      <c r="F20" s="28" t="s">
        <v>321</v>
      </c>
      <c r="G20" s="30" t="s">
        <v>322</v>
      </c>
      <c r="H20" s="27" t="n">
        <v>400</v>
      </c>
      <c r="I20" s="28" t="s">
        <v>262</v>
      </c>
      <c r="J20" s="28" t="s">
        <v>263</v>
      </c>
      <c r="K20" s="27" t="n">
        <v>200</v>
      </c>
      <c r="L20" s="29" t="s">
        <v>323</v>
      </c>
      <c r="M20" s="27" t="s">
        <v>27</v>
      </c>
      <c r="N20" s="27" t="s">
        <v>324</v>
      </c>
      <c r="O20" s="29" t="s">
        <v>325</v>
      </c>
      <c r="P20" s="27" t="n">
        <v>19</v>
      </c>
    </row>
    <row r="21" customFormat="false" ht="32.8" hidden="false" customHeight="false" outlineLevel="0" collapsed="false">
      <c r="A21" s="29" t="s">
        <v>326</v>
      </c>
      <c r="B21" s="27" t="s">
        <v>109</v>
      </c>
      <c r="C21" s="28" t="s">
        <v>142</v>
      </c>
      <c r="D21" s="29" t="s">
        <v>327</v>
      </c>
      <c r="E21" s="29" t="s">
        <v>328</v>
      </c>
      <c r="F21" s="28" t="s">
        <v>329</v>
      </c>
      <c r="G21" s="30" t="s">
        <v>330</v>
      </c>
      <c r="H21" s="27" t="n">
        <v>400</v>
      </c>
      <c r="I21" s="28" t="s">
        <v>262</v>
      </c>
      <c r="J21" s="28" t="s">
        <v>263</v>
      </c>
      <c r="K21" s="27" t="n">
        <v>200</v>
      </c>
      <c r="L21" s="29" t="s">
        <v>331</v>
      </c>
      <c r="M21" s="27" t="s">
        <v>27</v>
      </c>
      <c r="N21" s="27" t="s">
        <v>324</v>
      </c>
      <c r="O21" s="29" t="s">
        <v>325</v>
      </c>
      <c r="P21" s="27" t="n">
        <v>20</v>
      </c>
    </row>
    <row r="22" customFormat="false" ht="64.15" hidden="false" customHeight="false" outlineLevel="0" collapsed="false">
      <c r="A22" s="29" t="s">
        <v>332</v>
      </c>
      <c r="B22" s="27" t="s">
        <v>109</v>
      </c>
      <c r="C22" s="28" t="s">
        <v>173</v>
      </c>
      <c r="D22" s="28" t="s">
        <v>333</v>
      </c>
      <c r="E22" s="29" t="s">
        <v>334</v>
      </c>
      <c r="F22" s="28" t="s">
        <v>335</v>
      </c>
      <c r="G22" s="30" t="s">
        <v>336</v>
      </c>
      <c r="H22" s="27" t="n">
        <v>400</v>
      </c>
      <c r="I22" s="28" t="s">
        <v>262</v>
      </c>
      <c r="J22" s="28" t="s">
        <v>263</v>
      </c>
      <c r="K22" s="27" t="n">
        <v>200</v>
      </c>
      <c r="L22" s="29" t="s">
        <v>337</v>
      </c>
      <c r="M22" s="27" t="s">
        <v>27</v>
      </c>
      <c r="N22" s="27" t="s">
        <v>338</v>
      </c>
      <c r="O22" s="28"/>
      <c r="P22" s="27" t="n">
        <v>21</v>
      </c>
    </row>
    <row r="23" customFormat="false" ht="53.7" hidden="false" customHeight="false" outlineLevel="0" collapsed="false">
      <c r="A23" s="29" t="s">
        <v>339</v>
      </c>
      <c r="B23" s="27" t="s">
        <v>109</v>
      </c>
      <c r="C23" s="28" t="s">
        <v>173</v>
      </c>
      <c r="D23" s="28" t="s">
        <v>340</v>
      </c>
      <c r="E23" s="29" t="s">
        <v>341</v>
      </c>
      <c r="F23" s="29" t="s">
        <v>342</v>
      </c>
      <c r="G23" s="30" t="s">
        <v>343</v>
      </c>
      <c r="H23" s="27" t="n">
        <v>400</v>
      </c>
      <c r="I23" s="28" t="s">
        <v>262</v>
      </c>
      <c r="J23" s="28" t="s">
        <v>263</v>
      </c>
      <c r="K23" s="27" t="n">
        <v>200</v>
      </c>
      <c r="L23" s="29" t="s">
        <v>344</v>
      </c>
      <c r="M23" s="27" t="s">
        <v>27</v>
      </c>
      <c r="N23" s="27" t="s">
        <v>345</v>
      </c>
      <c r="O23" s="28" t="s">
        <v>346</v>
      </c>
      <c r="P23" s="27" t="n">
        <v>22</v>
      </c>
    </row>
    <row r="24" customFormat="false" ht="64.15" hidden="false" customHeight="false" outlineLevel="0" collapsed="false">
      <c r="A24" s="29" t="s">
        <v>347</v>
      </c>
      <c r="B24" s="27" t="s">
        <v>109</v>
      </c>
      <c r="C24" s="28" t="s">
        <v>173</v>
      </c>
      <c r="D24" s="29" t="s">
        <v>348</v>
      </c>
      <c r="E24" s="29" t="s">
        <v>349</v>
      </c>
      <c r="F24" s="28" t="s">
        <v>350</v>
      </c>
      <c r="G24" s="30" t="s">
        <v>351</v>
      </c>
      <c r="H24" s="27" t="n">
        <v>400</v>
      </c>
      <c r="I24" s="28" t="s">
        <v>262</v>
      </c>
      <c r="J24" s="28" t="s">
        <v>263</v>
      </c>
      <c r="K24" s="27" t="n">
        <v>200</v>
      </c>
      <c r="L24" s="29" t="s">
        <v>352</v>
      </c>
      <c r="M24" s="27" t="s">
        <v>27</v>
      </c>
      <c r="N24" s="27" t="s">
        <v>311</v>
      </c>
      <c r="O24" s="28"/>
      <c r="P24" s="27" t="n">
        <v>23</v>
      </c>
    </row>
    <row r="25" customFormat="false" ht="64.15" hidden="false" customHeight="false" outlineLevel="0" collapsed="false">
      <c r="A25" s="29" t="s">
        <v>353</v>
      </c>
      <c r="B25" s="27" t="s">
        <v>109</v>
      </c>
      <c r="C25" s="28" t="s">
        <v>173</v>
      </c>
      <c r="D25" s="29" t="s">
        <v>354</v>
      </c>
      <c r="E25" s="29" t="s">
        <v>355</v>
      </c>
      <c r="F25" s="29" t="s">
        <v>356</v>
      </c>
      <c r="G25" s="30" t="s">
        <v>357</v>
      </c>
      <c r="H25" s="27" t="n">
        <v>400</v>
      </c>
      <c r="I25" s="28" t="s">
        <v>262</v>
      </c>
      <c r="J25" s="28" t="s">
        <v>263</v>
      </c>
      <c r="K25" s="27" t="n">
        <v>200</v>
      </c>
      <c r="L25" s="29" t="s">
        <v>358</v>
      </c>
      <c r="M25" s="27" t="s">
        <v>27</v>
      </c>
      <c r="N25" s="27" t="s">
        <v>311</v>
      </c>
      <c r="O25" s="28"/>
      <c r="P25" s="27" t="n">
        <v>24</v>
      </c>
    </row>
    <row r="26" customFormat="false" ht="64.15" hidden="false" customHeight="false" outlineLevel="0" collapsed="false">
      <c r="A26" s="29" t="s">
        <v>359</v>
      </c>
      <c r="B26" s="27" t="s">
        <v>109</v>
      </c>
      <c r="C26" s="28" t="s">
        <v>173</v>
      </c>
      <c r="D26" s="29" t="s">
        <v>360</v>
      </c>
      <c r="E26" s="29" t="s">
        <v>361</v>
      </c>
      <c r="F26" s="28" t="s">
        <v>362</v>
      </c>
      <c r="G26" s="30" t="s">
        <v>363</v>
      </c>
      <c r="H26" s="27" t="n">
        <v>400</v>
      </c>
      <c r="I26" s="28" t="s">
        <v>262</v>
      </c>
      <c r="J26" s="28" t="s">
        <v>263</v>
      </c>
      <c r="K26" s="27" t="n">
        <v>200</v>
      </c>
      <c r="L26" s="29" t="s">
        <v>364</v>
      </c>
      <c r="M26" s="27" t="s">
        <v>27</v>
      </c>
      <c r="N26" s="27" t="s">
        <v>311</v>
      </c>
      <c r="O26" s="28"/>
      <c r="P26" s="27" t="n">
        <v>25</v>
      </c>
    </row>
    <row r="27" customFormat="false" ht="64.15" hidden="false" customHeight="false" outlineLevel="0" collapsed="false">
      <c r="A27" s="29" t="s">
        <v>365</v>
      </c>
      <c r="B27" s="27" t="s">
        <v>109</v>
      </c>
      <c r="C27" s="28" t="s">
        <v>173</v>
      </c>
      <c r="D27" s="29" t="s">
        <v>366</v>
      </c>
      <c r="E27" s="29" t="s">
        <v>367</v>
      </c>
      <c r="F27" s="28" t="s">
        <v>368</v>
      </c>
      <c r="G27" s="30" t="s">
        <v>369</v>
      </c>
      <c r="H27" s="27" t="n">
        <v>400</v>
      </c>
      <c r="I27" s="28" t="s">
        <v>262</v>
      </c>
      <c r="J27" s="28" t="s">
        <v>263</v>
      </c>
      <c r="K27" s="27" t="n">
        <v>200</v>
      </c>
      <c r="L27" s="29" t="s">
        <v>370</v>
      </c>
      <c r="M27" s="27" t="s">
        <v>27</v>
      </c>
      <c r="N27" s="27" t="s">
        <v>371</v>
      </c>
      <c r="O27" s="28" t="s">
        <v>372</v>
      </c>
      <c r="P27" s="27" t="n">
        <v>26</v>
      </c>
    </row>
    <row r="28" customFormat="false" ht="64.15" hidden="false" customHeight="false" outlineLevel="0" collapsed="false">
      <c r="A28" s="29" t="s">
        <v>373</v>
      </c>
      <c r="B28" s="27" t="s">
        <v>109</v>
      </c>
      <c r="C28" s="28" t="s">
        <v>173</v>
      </c>
      <c r="D28" s="29" t="s">
        <v>374</v>
      </c>
      <c r="E28" s="29" t="s">
        <v>375</v>
      </c>
      <c r="F28" s="28" t="s">
        <v>376</v>
      </c>
      <c r="G28" s="30" t="s">
        <v>377</v>
      </c>
      <c r="H28" s="27" t="n">
        <v>400</v>
      </c>
      <c r="I28" s="28" t="s">
        <v>262</v>
      </c>
      <c r="J28" s="28" t="s">
        <v>263</v>
      </c>
      <c r="K28" s="27" t="n">
        <v>200</v>
      </c>
      <c r="L28" s="29" t="s">
        <v>352</v>
      </c>
      <c r="M28" s="27" t="s">
        <v>27</v>
      </c>
      <c r="N28" s="27" t="s">
        <v>311</v>
      </c>
      <c r="O28" s="28"/>
      <c r="P28" s="27" t="n">
        <v>27</v>
      </c>
    </row>
    <row r="29" customFormat="false" ht="53.7" hidden="false" customHeight="false" outlineLevel="0" collapsed="false">
      <c r="A29" s="29" t="s">
        <v>378</v>
      </c>
      <c r="B29" s="27" t="s">
        <v>109</v>
      </c>
      <c r="C29" s="28" t="s">
        <v>203</v>
      </c>
      <c r="D29" s="29" t="s">
        <v>379</v>
      </c>
      <c r="E29" s="29" t="s">
        <v>380</v>
      </c>
      <c r="F29" s="29" t="s">
        <v>381</v>
      </c>
      <c r="G29" s="30" t="s">
        <v>382</v>
      </c>
      <c r="H29" s="27" t="n">
        <v>200</v>
      </c>
      <c r="I29" s="28" t="s">
        <v>208</v>
      </c>
      <c r="J29" s="29" t="s">
        <v>383</v>
      </c>
      <c r="K29" s="27" t="n">
        <v>200</v>
      </c>
      <c r="L29" s="29" t="s">
        <v>384</v>
      </c>
      <c r="M29" s="27" t="s">
        <v>27</v>
      </c>
      <c r="N29" s="27" t="s">
        <v>385</v>
      </c>
      <c r="O29" s="28" t="s">
        <v>386</v>
      </c>
      <c r="P29" s="27" t="n">
        <v>28</v>
      </c>
    </row>
    <row r="30" customFormat="false" ht="15" hidden="false" customHeight="false" outlineLevel="0" collapsed="false">
      <c r="A30" s="29" t="s">
        <v>387</v>
      </c>
      <c r="B30" s="27" t="s">
        <v>109</v>
      </c>
      <c r="C30" s="28" t="s">
        <v>388</v>
      </c>
      <c r="D30" s="28" t="s">
        <v>389</v>
      </c>
      <c r="E30" s="29" t="s">
        <v>390</v>
      </c>
      <c r="F30" s="28" t="s">
        <v>391</v>
      </c>
      <c r="G30" s="30" t="s">
        <v>392</v>
      </c>
      <c r="H30" s="27" t="n">
        <v>400</v>
      </c>
      <c r="I30" s="28" t="s">
        <v>262</v>
      </c>
      <c r="J30" s="28" t="s">
        <v>263</v>
      </c>
      <c r="K30" s="27" t="n">
        <v>200</v>
      </c>
      <c r="L30" s="28" t="s">
        <v>393</v>
      </c>
      <c r="M30" s="27" t="s">
        <v>27</v>
      </c>
      <c r="N30" s="27" t="s">
        <v>394</v>
      </c>
      <c r="O30" s="28"/>
      <c r="P30" s="27" t="n">
        <v>29</v>
      </c>
    </row>
    <row r="31" customFormat="false" ht="32.8" hidden="false" customHeight="false" outlineLevel="0" collapsed="false">
      <c r="A31" s="29" t="s">
        <v>395</v>
      </c>
      <c r="B31" s="27" t="s">
        <v>109</v>
      </c>
      <c r="C31" s="28" t="s">
        <v>388</v>
      </c>
      <c r="D31" s="29" t="s">
        <v>396</v>
      </c>
      <c r="E31" s="29" t="s">
        <v>397</v>
      </c>
      <c r="F31" s="29" t="s">
        <v>398</v>
      </c>
      <c r="G31" s="30" t="s">
        <v>399</v>
      </c>
      <c r="H31" s="27" t="n">
        <v>400</v>
      </c>
      <c r="I31" s="28" t="s">
        <v>262</v>
      </c>
      <c r="J31" s="28" t="s">
        <v>263</v>
      </c>
      <c r="K31" s="27" t="n">
        <v>200</v>
      </c>
      <c r="L31" s="29" t="s">
        <v>400</v>
      </c>
      <c r="M31" s="27" t="s">
        <v>27</v>
      </c>
      <c r="N31" s="27" t="s">
        <v>401</v>
      </c>
      <c r="O31" s="28"/>
      <c r="P31" s="27" t="n">
        <v>30</v>
      </c>
    </row>
    <row r="32" customFormat="false" ht="32.8" hidden="false" customHeight="false" outlineLevel="0" collapsed="false">
      <c r="A32" s="29" t="s">
        <v>402</v>
      </c>
      <c r="B32" s="27" t="s">
        <v>109</v>
      </c>
      <c r="C32" s="28" t="s">
        <v>388</v>
      </c>
      <c r="D32" s="29" t="s">
        <v>403</v>
      </c>
      <c r="E32" s="29" t="s">
        <v>404</v>
      </c>
      <c r="F32" s="29" t="s">
        <v>405</v>
      </c>
      <c r="G32" s="30" t="s">
        <v>406</v>
      </c>
      <c r="H32" s="27" t="n">
        <v>400</v>
      </c>
      <c r="I32" s="28" t="s">
        <v>262</v>
      </c>
      <c r="J32" s="28" t="s">
        <v>263</v>
      </c>
      <c r="K32" s="27" t="n">
        <v>200</v>
      </c>
      <c r="L32" s="29" t="s">
        <v>407</v>
      </c>
      <c r="M32" s="27" t="s">
        <v>27</v>
      </c>
      <c r="N32" s="27" t="s">
        <v>408</v>
      </c>
      <c r="O32" s="28" t="s">
        <v>409</v>
      </c>
      <c r="P32" s="27" t="n">
        <v>31</v>
      </c>
    </row>
    <row r="33" customFormat="false" ht="43.25" hidden="false" customHeight="false" outlineLevel="0" collapsed="false">
      <c r="A33" s="29" t="s">
        <v>410</v>
      </c>
      <c r="B33" s="27" t="s">
        <v>109</v>
      </c>
      <c r="C33" s="28" t="s">
        <v>388</v>
      </c>
      <c r="D33" s="28" t="s">
        <v>411</v>
      </c>
      <c r="E33" s="29" t="s">
        <v>412</v>
      </c>
      <c r="F33" s="28" t="s">
        <v>413</v>
      </c>
      <c r="G33" s="30" t="s">
        <v>414</v>
      </c>
      <c r="H33" s="27" t="n">
        <v>400</v>
      </c>
      <c r="I33" s="28" t="s">
        <v>262</v>
      </c>
      <c r="J33" s="28" t="s">
        <v>263</v>
      </c>
      <c r="K33" s="27" t="n">
        <v>200</v>
      </c>
      <c r="L33" s="28" t="s">
        <v>393</v>
      </c>
      <c r="M33" s="27" t="s">
        <v>27</v>
      </c>
      <c r="N33" s="27" t="s">
        <v>394</v>
      </c>
      <c r="O33" s="28"/>
      <c r="P33" s="27" t="n">
        <v>32</v>
      </c>
    </row>
    <row r="34" customFormat="false" ht="32.8" hidden="false" customHeight="false" outlineLevel="0" collapsed="false">
      <c r="A34" s="29" t="s">
        <v>415</v>
      </c>
      <c r="B34" s="27" t="s">
        <v>109</v>
      </c>
      <c r="C34" s="28" t="s">
        <v>388</v>
      </c>
      <c r="D34" s="28" t="s">
        <v>416</v>
      </c>
      <c r="E34" s="29" t="s">
        <v>417</v>
      </c>
      <c r="F34" s="28" t="s">
        <v>418</v>
      </c>
      <c r="G34" s="30" t="s">
        <v>419</v>
      </c>
      <c r="H34" s="27" t="n">
        <v>400</v>
      </c>
      <c r="I34" s="28" t="s">
        <v>262</v>
      </c>
      <c r="J34" s="28" t="s">
        <v>263</v>
      </c>
      <c r="K34" s="27" t="n">
        <v>200</v>
      </c>
      <c r="L34" s="28" t="s">
        <v>393</v>
      </c>
      <c r="M34" s="27" t="s">
        <v>27</v>
      </c>
      <c r="N34" s="27" t="s">
        <v>394</v>
      </c>
      <c r="O34" s="28"/>
      <c r="P34" s="27" t="n">
        <v>33</v>
      </c>
    </row>
  </sheetData>
  <autoFilter ref="A1:P34"/>
  <conditionalFormatting sqref="M2:M34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</conditionalFormatting>
  <dataValidations count="1">
    <dataValidation allowBlank="true" errorStyle="stop" operator="between" showDropDown="false" showErrorMessage="false" showInputMessage="false" sqref="M2:M34" type="list">
      <formula1>"PASS,FAIL,BLOCK,N/A,Not Tested"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36"/>
    <col collapsed="false" customWidth="true" hidden="false" outlineLevel="0" max="5" min="5" style="0" width="12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22" t="s">
        <v>132</v>
      </c>
      <c r="B1" s="31" t="s">
        <v>420</v>
      </c>
      <c r="C1" s="22" t="s">
        <v>3</v>
      </c>
      <c r="D1" s="22" t="s">
        <v>421</v>
      </c>
      <c r="E1" s="22" t="s">
        <v>38</v>
      </c>
      <c r="F1" s="22" t="s">
        <v>422</v>
      </c>
    </row>
    <row r="2" customFormat="false" ht="15" hidden="false" customHeight="false" outlineLevel="0" collapsed="false">
      <c r="A2" s="27" t="s">
        <v>154</v>
      </c>
      <c r="B2" s="29" t="s">
        <v>423</v>
      </c>
      <c r="C2" s="28" t="s">
        <v>424</v>
      </c>
      <c r="D2" s="29" t="s">
        <v>147</v>
      </c>
      <c r="E2" s="33" t="s">
        <v>42</v>
      </c>
      <c r="F2" s="27" t="s">
        <v>425</v>
      </c>
    </row>
    <row r="3" customFormat="false" ht="15" hidden="false" customHeight="false" outlineLevel="0" collapsed="false">
      <c r="A3" s="27" t="s">
        <v>171</v>
      </c>
      <c r="B3" s="29" t="s">
        <v>423</v>
      </c>
      <c r="C3" s="28" t="s">
        <v>426</v>
      </c>
      <c r="D3" s="29" t="s">
        <v>164</v>
      </c>
      <c r="E3" s="33" t="s">
        <v>43</v>
      </c>
      <c r="F3" s="27" t="s">
        <v>425</v>
      </c>
    </row>
    <row r="4" customFormat="false" ht="15" hidden="false" customHeight="false" outlineLevel="0" collapsed="false">
      <c r="A4" s="27" t="s">
        <v>179</v>
      </c>
      <c r="B4" s="29" t="s">
        <v>423</v>
      </c>
      <c r="C4" s="28" t="s">
        <v>427</v>
      </c>
      <c r="D4" s="29" t="s">
        <v>172</v>
      </c>
      <c r="E4" s="33" t="s">
        <v>42</v>
      </c>
      <c r="F4" s="27" t="s">
        <v>425</v>
      </c>
    </row>
    <row r="5" customFormat="false" ht="15" hidden="false" customHeight="false" outlineLevel="0" collapsed="false">
      <c r="A5" s="27" t="s">
        <v>186</v>
      </c>
      <c r="B5" s="29" t="s">
        <v>423</v>
      </c>
      <c r="C5" s="28" t="s">
        <v>428</v>
      </c>
      <c r="D5" s="29" t="s">
        <v>180</v>
      </c>
      <c r="E5" s="33" t="s">
        <v>42</v>
      </c>
      <c r="F5" s="27" t="s">
        <v>425</v>
      </c>
    </row>
    <row r="6" customFormat="false" ht="15" hidden="false" customHeight="false" outlineLevel="0" collapsed="false">
      <c r="A6" s="27" t="s">
        <v>162</v>
      </c>
      <c r="B6" s="29" t="s">
        <v>423</v>
      </c>
      <c r="C6" s="28" t="s">
        <v>429</v>
      </c>
      <c r="D6" s="29" t="s">
        <v>155</v>
      </c>
      <c r="E6" s="33" t="s">
        <v>42</v>
      </c>
      <c r="F6" s="27" t="s">
        <v>425</v>
      </c>
    </row>
    <row r="7" customFormat="false" ht="15" hidden="false" customHeight="false" outlineLevel="0" collapsed="false">
      <c r="A7" s="27" t="s">
        <v>193</v>
      </c>
      <c r="B7" s="29" t="s">
        <v>423</v>
      </c>
      <c r="C7" s="29" t="s">
        <v>430</v>
      </c>
      <c r="D7" s="29" t="s">
        <v>187</v>
      </c>
      <c r="E7" s="33" t="s">
        <v>43</v>
      </c>
      <c r="F7" s="27" t="s">
        <v>425</v>
      </c>
    </row>
    <row r="8" customFormat="false" ht="15" hidden="false" customHeight="false" outlineLevel="0" collapsed="false">
      <c r="A8" s="27" t="s">
        <v>200</v>
      </c>
      <c r="B8" s="29" t="s">
        <v>423</v>
      </c>
      <c r="C8" s="29" t="s">
        <v>431</v>
      </c>
      <c r="D8" s="29" t="s">
        <v>195</v>
      </c>
      <c r="E8" s="33" t="s">
        <v>42</v>
      </c>
      <c r="F8" s="27" t="s">
        <v>425</v>
      </c>
    </row>
    <row r="9" customFormat="false" ht="15" hidden="false" customHeight="false" outlineLevel="0" collapsed="false">
      <c r="A9" s="27" t="s">
        <v>385</v>
      </c>
      <c r="B9" s="29" t="s">
        <v>432</v>
      </c>
      <c r="C9" s="29" t="s">
        <v>433</v>
      </c>
      <c r="D9" s="29" t="s">
        <v>378</v>
      </c>
      <c r="E9" s="33" t="s">
        <v>42</v>
      </c>
      <c r="F9" s="27" t="s">
        <v>425</v>
      </c>
    </row>
    <row r="10" customFormat="false" ht="15" hidden="false" customHeight="false" outlineLevel="0" collapsed="false">
      <c r="A10" s="27" t="s">
        <v>345</v>
      </c>
      <c r="B10" s="29" t="s">
        <v>432</v>
      </c>
      <c r="C10" s="29" t="s">
        <v>434</v>
      </c>
      <c r="D10" s="29" t="s">
        <v>339</v>
      </c>
      <c r="E10" s="33" t="s">
        <v>42</v>
      </c>
      <c r="F10" s="27" t="s">
        <v>425</v>
      </c>
    </row>
    <row r="11" customFormat="false" ht="15" hidden="false" customHeight="false" outlineLevel="0" collapsed="false">
      <c r="A11" s="27" t="s">
        <v>265</v>
      </c>
      <c r="B11" s="29" t="s">
        <v>432</v>
      </c>
      <c r="C11" s="28" t="s">
        <v>435</v>
      </c>
      <c r="D11" s="29" t="s">
        <v>436</v>
      </c>
      <c r="E11" s="33" t="s">
        <v>42</v>
      </c>
      <c r="F11" s="27" t="s">
        <v>425</v>
      </c>
    </row>
    <row r="12" customFormat="false" ht="15" hidden="false" customHeight="false" outlineLevel="0" collapsed="false">
      <c r="A12" s="27" t="s">
        <v>278</v>
      </c>
      <c r="B12" s="29" t="s">
        <v>432</v>
      </c>
      <c r="C12" s="29" t="s">
        <v>437</v>
      </c>
      <c r="D12" s="29" t="s">
        <v>272</v>
      </c>
      <c r="E12" s="33" t="s">
        <v>43</v>
      </c>
      <c r="F12" s="27" t="s">
        <v>425</v>
      </c>
    </row>
    <row r="13" customFormat="false" ht="15" hidden="false" customHeight="false" outlineLevel="0" collapsed="false">
      <c r="A13" s="27" t="s">
        <v>284</v>
      </c>
      <c r="B13" s="29" t="s">
        <v>432</v>
      </c>
      <c r="C13" s="28" t="s">
        <v>438</v>
      </c>
      <c r="D13" s="29" t="s">
        <v>279</v>
      </c>
      <c r="E13" s="33" t="s">
        <v>42</v>
      </c>
      <c r="F13" s="27" t="s">
        <v>425</v>
      </c>
    </row>
    <row r="14" customFormat="false" ht="15" hidden="false" customHeight="false" outlineLevel="0" collapsed="false">
      <c r="A14" s="27" t="s">
        <v>324</v>
      </c>
      <c r="B14" s="29" t="s">
        <v>432</v>
      </c>
      <c r="C14" s="28" t="s">
        <v>439</v>
      </c>
      <c r="D14" s="29" t="s">
        <v>440</v>
      </c>
      <c r="E14" s="33" t="s">
        <v>42</v>
      </c>
      <c r="F14" s="27" t="s">
        <v>425</v>
      </c>
    </row>
    <row r="15" customFormat="false" ht="15" hidden="false" customHeight="false" outlineLevel="0" collapsed="false">
      <c r="A15" s="27" t="s">
        <v>303</v>
      </c>
      <c r="B15" s="29" t="s">
        <v>432</v>
      </c>
      <c r="C15" s="29" t="s">
        <v>441</v>
      </c>
      <c r="D15" s="29" t="s">
        <v>297</v>
      </c>
      <c r="E15" s="33" t="s">
        <v>43</v>
      </c>
      <c r="F15" s="27" t="s">
        <v>425</v>
      </c>
    </row>
    <row r="16" customFormat="false" ht="15" hidden="false" customHeight="false" outlineLevel="0" collapsed="false">
      <c r="A16" s="27" t="s">
        <v>338</v>
      </c>
      <c r="B16" s="29" t="s">
        <v>432</v>
      </c>
      <c r="C16" s="28" t="s">
        <v>442</v>
      </c>
      <c r="D16" s="29" t="s">
        <v>332</v>
      </c>
      <c r="E16" s="33" t="s">
        <v>42</v>
      </c>
      <c r="F16" s="27" t="s">
        <v>425</v>
      </c>
    </row>
    <row r="17" customFormat="false" ht="15" hidden="false" customHeight="false" outlineLevel="0" collapsed="false">
      <c r="A17" s="27" t="s">
        <v>311</v>
      </c>
      <c r="B17" s="29" t="s">
        <v>432</v>
      </c>
      <c r="C17" s="28" t="s">
        <v>443</v>
      </c>
      <c r="D17" s="29" t="s">
        <v>444</v>
      </c>
      <c r="E17" s="33" t="s">
        <v>42</v>
      </c>
      <c r="F17" s="27" t="s">
        <v>425</v>
      </c>
    </row>
    <row r="18" customFormat="false" ht="15" hidden="false" customHeight="false" outlineLevel="0" collapsed="false">
      <c r="A18" s="27" t="s">
        <v>371</v>
      </c>
      <c r="B18" s="29" t="s">
        <v>432</v>
      </c>
      <c r="C18" s="28" t="s">
        <v>445</v>
      </c>
      <c r="D18" s="29" t="s">
        <v>365</v>
      </c>
      <c r="E18" s="33" t="s">
        <v>43</v>
      </c>
      <c r="F18" s="27" t="s">
        <v>425</v>
      </c>
    </row>
    <row r="19" customFormat="false" ht="15" hidden="false" customHeight="false" outlineLevel="0" collapsed="false">
      <c r="A19" s="27" t="s">
        <v>401</v>
      </c>
      <c r="B19" s="29" t="s">
        <v>432</v>
      </c>
      <c r="C19" s="29" t="s">
        <v>446</v>
      </c>
      <c r="D19" s="29" t="s">
        <v>395</v>
      </c>
      <c r="E19" s="33" t="s">
        <v>42</v>
      </c>
      <c r="F19" s="27" t="s">
        <v>425</v>
      </c>
    </row>
    <row r="20" customFormat="false" ht="15" hidden="false" customHeight="false" outlineLevel="0" collapsed="false">
      <c r="A20" s="27" t="s">
        <v>408</v>
      </c>
      <c r="B20" s="29" t="s">
        <v>432</v>
      </c>
      <c r="C20" s="29" t="s">
        <v>447</v>
      </c>
      <c r="D20" s="29" t="s">
        <v>402</v>
      </c>
      <c r="E20" s="33" t="s">
        <v>45</v>
      </c>
      <c r="F20" s="27" t="s">
        <v>425</v>
      </c>
    </row>
    <row r="21" customFormat="false" ht="15" hidden="false" customHeight="false" outlineLevel="0" collapsed="false">
      <c r="A21" s="27" t="s">
        <v>290</v>
      </c>
      <c r="B21" s="29" t="s">
        <v>432</v>
      </c>
      <c r="C21" s="29" t="s">
        <v>448</v>
      </c>
      <c r="D21" s="29" t="s">
        <v>449</v>
      </c>
      <c r="E21" s="33" t="s">
        <v>45</v>
      </c>
      <c r="F21" s="27" t="s">
        <v>425</v>
      </c>
    </row>
    <row r="22" customFormat="false" ht="15" hidden="false" customHeight="false" outlineLevel="0" collapsed="false">
      <c r="A22" s="27" t="s">
        <v>394</v>
      </c>
      <c r="B22" s="29" t="s">
        <v>432</v>
      </c>
      <c r="C22" s="28" t="s">
        <v>450</v>
      </c>
      <c r="D22" s="29" t="s">
        <v>451</v>
      </c>
      <c r="E22" s="33" t="s">
        <v>44</v>
      </c>
      <c r="F22" s="27" t="s">
        <v>425</v>
      </c>
    </row>
  </sheetData>
  <dataValidations count="2">
    <dataValidation allowBlank="true" errorStyle="stop" operator="between" showDropDown="false" showErrorMessage="false" showInputMessage="false" sqref="E2:E22" type="list">
      <formula1>"상,중,하,정책 확인"</formula1>
      <formula2>0</formula2>
    </dataValidation>
    <dataValidation allowBlank="true" errorStyle="stop" operator="between" showDropDown="false" showErrorMessage="false" showInputMessage="false" sqref="F2:F22" type="list">
      <formula1>"Open,Fixed,Closed"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2026-10-28T04:53:14Z</dcterms:created>
  <dc:creator>openpyxl</dc:creator>
  <dc:description/>
  <dc:language>en-US</dc:language>
  <cp:lastModifiedBy/>
  <dcterms:modified xsi:type="dcterms:W3CDTF">2026-10-28T04:53:14Z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